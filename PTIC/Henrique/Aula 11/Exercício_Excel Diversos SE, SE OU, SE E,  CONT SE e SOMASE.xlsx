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tec\DS ETEC\PTIC\Aula 11\"/>
    </mc:Choice>
  </mc:AlternateContent>
  <xr:revisionPtr revIDLastSave="0" documentId="13_ncr:1_{313FD14D-E18D-4858-9E56-79E99020BFAB}" xr6:coauthVersionLast="47" xr6:coauthVersionMax="47" xr10:uidLastSave="{00000000-0000-0000-0000-000000000000}"/>
  <bookViews>
    <workbookView xWindow="-120" yWindow="-120" windowWidth="19440" windowHeight="15000" activeTab="2" xr2:uid="{00000000-000D-0000-FFFF-FFFF00000000}"/>
  </bookViews>
  <sheets>
    <sheet name="SE E OU" sheetId="6" r:id="rId1"/>
    <sheet name="SE" sheetId="5" r:id="rId2"/>
    <sheet name="SE OU" sheetId="1" r:id="rId3"/>
    <sheet name="SE E" sheetId="2" r:id="rId4"/>
    <sheet name="CONT.SE" sheetId="3" r:id="rId5"/>
    <sheet name="SOMASE" sheetId="4" r:id="rId6"/>
  </sheets>
  <externalReferences>
    <externalReference r:id="rId7"/>
    <externalReference r:id="rId8"/>
  </externalReferences>
  <definedNames>
    <definedName name="_xlnm._FilterDatabase" localSheetId="4" hidden="1">'CONT.SE'!$B$3:$K$43</definedName>
    <definedName name="_xlnm._FilterDatabase" localSheetId="5" hidden="1">SOMASE!$A$2:$P$2</definedName>
    <definedName name="Celulares">'[1]Nomeando Células'!$G$8</definedName>
    <definedName name="Lista_Unidades">'[2]Exerc PROCH (aluno)'!$H$1:$H$5</definedName>
  </definedNames>
  <calcPr calcId="181029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J7" i="5"/>
  <c r="J8" i="5"/>
  <c r="J5" i="5"/>
  <c r="L6" i="5"/>
  <c r="L7" i="5"/>
  <c r="L8" i="5"/>
  <c r="L9" i="5"/>
  <c r="L5" i="5"/>
  <c r="K8" i="5"/>
  <c r="K9" i="5"/>
  <c r="K7" i="5"/>
  <c r="K6" i="5"/>
  <c r="K5" i="5"/>
  <c r="I8" i="5"/>
  <c r="I6" i="5"/>
  <c r="I7" i="5"/>
  <c r="I9" i="5"/>
  <c r="I5" i="5"/>
  <c r="H9" i="5"/>
  <c r="H8" i="5"/>
  <c r="H7" i="5"/>
  <c r="H6" i="5"/>
  <c r="H5" i="5"/>
  <c r="H5" i="6" l="1"/>
  <c r="G6" i="6"/>
  <c r="H6" i="6"/>
  <c r="I6" i="6"/>
  <c r="J6" i="6"/>
  <c r="G7" i="6"/>
  <c r="H7" i="6"/>
  <c r="I7" i="6"/>
  <c r="J7" i="6"/>
  <c r="G8" i="6"/>
  <c r="H8" i="6"/>
  <c r="I8" i="6"/>
  <c r="J8" i="6"/>
  <c r="G9" i="6"/>
  <c r="H9" i="6"/>
  <c r="I9" i="6"/>
  <c r="J9" i="6"/>
  <c r="G10" i="6"/>
  <c r="H10" i="6"/>
  <c r="I10" i="6"/>
  <c r="J10" i="6"/>
  <c r="G11" i="6"/>
  <c r="H11" i="6"/>
  <c r="I11" i="6"/>
  <c r="J11" i="6"/>
  <c r="G12" i="6"/>
  <c r="H12" i="6"/>
  <c r="I12" i="6"/>
  <c r="J12" i="6"/>
  <c r="G13" i="6"/>
  <c r="H13" i="6"/>
  <c r="I13" i="6"/>
  <c r="J13" i="6"/>
  <c r="G14" i="6"/>
  <c r="H14" i="6"/>
  <c r="I14" i="6"/>
  <c r="J14" i="6"/>
  <c r="G15" i="6"/>
  <c r="H15" i="6"/>
  <c r="I15" i="6"/>
  <c r="J15" i="6"/>
  <c r="G16" i="6"/>
  <c r="H16" i="6"/>
  <c r="I16" i="6"/>
  <c r="J16" i="6"/>
  <c r="G17" i="6"/>
  <c r="H17" i="6"/>
  <c r="I17" i="6"/>
  <c r="J17" i="6"/>
  <c r="G18" i="6"/>
  <c r="H18" i="6"/>
  <c r="I18" i="6"/>
  <c r="J18" i="6"/>
  <c r="G19" i="6"/>
  <c r="H19" i="6"/>
  <c r="I19" i="6"/>
  <c r="J19" i="6"/>
  <c r="G20" i="6"/>
  <c r="H20" i="6"/>
  <c r="I20" i="6"/>
  <c r="J20" i="6"/>
  <c r="G21" i="6"/>
  <c r="H21" i="6"/>
  <c r="I21" i="6"/>
  <c r="J21" i="6"/>
  <c r="G22" i="6"/>
  <c r="H22" i="6"/>
  <c r="I22" i="6"/>
  <c r="J22" i="6"/>
  <c r="G23" i="6"/>
  <c r="H23" i="6"/>
  <c r="I23" i="6"/>
  <c r="J23" i="6"/>
  <c r="G24" i="6"/>
  <c r="H24" i="6"/>
  <c r="I24" i="6"/>
  <c r="J24" i="6"/>
  <c r="G25" i="6"/>
  <c r="H25" i="6"/>
  <c r="I25" i="6"/>
  <c r="J25" i="6"/>
  <c r="G26" i="6"/>
  <c r="H26" i="6"/>
  <c r="I26" i="6"/>
  <c r="J26" i="6"/>
  <c r="G27" i="6"/>
  <c r="H27" i="6"/>
  <c r="I27" i="6"/>
  <c r="J27" i="6"/>
  <c r="G28" i="6"/>
  <c r="H28" i="6"/>
  <c r="I28" i="6"/>
  <c r="J28" i="6"/>
  <c r="G29" i="6"/>
  <c r="H29" i="6"/>
  <c r="I29" i="6"/>
  <c r="J29" i="6"/>
  <c r="G30" i="6"/>
  <c r="H30" i="6"/>
  <c r="I30" i="6"/>
  <c r="J30" i="6"/>
  <c r="G31" i="6"/>
  <c r="H31" i="6"/>
  <c r="I31" i="6"/>
  <c r="J31" i="6"/>
  <c r="G32" i="6"/>
  <c r="H32" i="6"/>
  <c r="I32" i="6"/>
  <c r="J32" i="6"/>
  <c r="G33" i="6"/>
  <c r="H33" i="6"/>
  <c r="I33" i="6"/>
  <c r="J33" i="6"/>
  <c r="G34" i="6"/>
  <c r="H34" i="6"/>
  <c r="I34" i="6"/>
  <c r="J34" i="6"/>
  <c r="G35" i="6"/>
  <c r="H35" i="6"/>
  <c r="I35" i="6"/>
  <c r="J35" i="6"/>
  <c r="G36" i="6"/>
  <c r="H36" i="6"/>
  <c r="I36" i="6"/>
  <c r="J36" i="6"/>
  <c r="G37" i="6"/>
  <c r="H37" i="6"/>
  <c r="I37" i="6"/>
  <c r="J37" i="6"/>
  <c r="G38" i="6"/>
  <c r="H38" i="6"/>
  <c r="I38" i="6"/>
  <c r="J38" i="6"/>
  <c r="G39" i="6"/>
  <c r="H39" i="6"/>
  <c r="I39" i="6"/>
  <c r="J39" i="6"/>
  <c r="G40" i="6"/>
  <c r="H40" i="6"/>
  <c r="I40" i="6"/>
  <c r="J40" i="6"/>
  <c r="G41" i="6"/>
  <c r="H41" i="6"/>
  <c r="I41" i="6"/>
  <c r="J41" i="6"/>
  <c r="G42" i="6"/>
  <c r="H42" i="6"/>
  <c r="I42" i="6"/>
  <c r="J42" i="6"/>
  <c r="G43" i="6"/>
  <c r="H43" i="6"/>
  <c r="I43" i="6"/>
  <c r="J43" i="6"/>
  <c r="G44" i="6"/>
  <c r="H44" i="6"/>
  <c r="I44" i="6"/>
  <c r="J44" i="6"/>
  <c r="G45" i="6"/>
  <c r="H45" i="6"/>
  <c r="I45" i="6"/>
  <c r="J45" i="6"/>
  <c r="G46" i="6"/>
  <c r="H46" i="6"/>
  <c r="I46" i="6"/>
  <c r="J46" i="6"/>
  <c r="G47" i="6"/>
  <c r="H47" i="6"/>
  <c r="I47" i="6"/>
  <c r="J47" i="6"/>
  <c r="G48" i="6"/>
  <c r="H48" i="6"/>
  <c r="I48" i="6"/>
  <c r="J48" i="6"/>
  <c r="G49" i="6"/>
  <c r="H49" i="6"/>
  <c r="I49" i="6"/>
  <c r="J49" i="6"/>
  <c r="G50" i="6"/>
  <c r="H50" i="6"/>
  <c r="I50" i="6"/>
  <c r="J50" i="6"/>
  <c r="G51" i="6"/>
  <c r="H51" i="6"/>
  <c r="I51" i="6"/>
  <c r="J51" i="6"/>
  <c r="G52" i="6"/>
  <c r="H52" i="6"/>
  <c r="I52" i="6"/>
  <c r="J52" i="6"/>
  <c r="G53" i="6"/>
  <c r="H53" i="6"/>
  <c r="I53" i="6"/>
  <c r="J53" i="6"/>
  <c r="G54" i="6"/>
  <c r="H54" i="6"/>
  <c r="I54" i="6"/>
  <c r="J54" i="6"/>
  <c r="G55" i="6"/>
  <c r="H55" i="6"/>
  <c r="I55" i="6"/>
  <c r="J55" i="6"/>
  <c r="G56" i="6"/>
  <c r="H56" i="6"/>
  <c r="I56" i="6"/>
  <c r="J56" i="6"/>
  <c r="G57" i="6"/>
  <c r="H57" i="6"/>
  <c r="I57" i="6"/>
  <c r="J57" i="6"/>
  <c r="G58" i="6"/>
  <c r="H58" i="6"/>
  <c r="I58" i="6"/>
  <c r="J58" i="6"/>
  <c r="G59" i="6"/>
  <c r="H59" i="6"/>
  <c r="I59" i="6"/>
  <c r="J59" i="6"/>
  <c r="G60" i="6"/>
  <c r="H60" i="6"/>
  <c r="I60" i="6"/>
  <c r="J60" i="6"/>
  <c r="G61" i="6"/>
  <c r="H61" i="6"/>
  <c r="I61" i="6"/>
  <c r="J61" i="6"/>
  <c r="G62" i="6"/>
  <c r="H62" i="6"/>
  <c r="I62" i="6"/>
  <c r="J62" i="6"/>
  <c r="G63" i="6"/>
  <c r="H63" i="6"/>
  <c r="I63" i="6"/>
  <c r="J63" i="6"/>
  <c r="G64" i="6"/>
  <c r="H64" i="6"/>
  <c r="I64" i="6"/>
  <c r="J64" i="6"/>
  <c r="G65" i="6"/>
  <c r="H65" i="6"/>
  <c r="I65" i="6"/>
  <c r="J65" i="6"/>
  <c r="G66" i="6"/>
  <c r="H66" i="6"/>
  <c r="I66" i="6"/>
  <c r="J66" i="6"/>
  <c r="G67" i="6"/>
  <c r="H67" i="6"/>
  <c r="I67" i="6"/>
  <c r="J67" i="6"/>
  <c r="G68" i="6"/>
  <c r="H68" i="6"/>
  <c r="I68" i="6"/>
  <c r="J68" i="6"/>
  <c r="G69" i="6"/>
  <c r="H69" i="6"/>
  <c r="I69" i="6"/>
  <c r="J69" i="6"/>
  <c r="J5" i="6"/>
  <c r="I5" i="6"/>
  <c r="G5" i="6"/>
</calcChain>
</file>

<file path=xl/sharedStrings.xml><?xml version="1.0" encoding="utf-8"?>
<sst xmlns="http://schemas.openxmlformats.org/spreadsheetml/2006/main" count="618" uniqueCount="231">
  <si>
    <t xml:space="preserve"> </t>
  </si>
  <si>
    <t>Vendedor</t>
  </si>
  <si>
    <t>Valor da Venda</t>
  </si>
  <si>
    <t>Região</t>
  </si>
  <si>
    <t>Comissão</t>
  </si>
  <si>
    <t>Ana Maria</t>
  </si>
  <si>
    <t>SUL</t>
  </si>
  <si>
    <t>José Carlos</t>
  </si>
  <si>
    <t>OESTE</t>
  </si>
  <si>
    <t>Luis Mario</t>
  </si>
  <si>
    <t>Sueli Costa</t>
  </si>
  <si>
    <t>João Silva</t>
  </si>
  <si>
    <t>ABC</t>
  </si>
  <si>
    <t>Calcule a comissão de cada vendedor considerando que:</t>
  </si>
  <si>
    <t>Qtde Comprada</t>
  </si>
  <si>
    <t>Total</t>
  </si>
  <si>
    <t>Desconto</t>
  </si>
  <si>
    <t>HOTEL</t>
  </si>
  <si>
    <t>CIDADE</t>
  </si>
  <si>
    <t>ESTADO</t>
  </si>
  <si>
    <t>ESTRELAS</t>
  </si>
  <si>
    <t>QUARTOS</t>
  </si>
  <si>
    <t>CLASSES</t>
  </si>
  <si>
    <t>MIN.</t>
  </si>
  <si>
    <t>MÁX.</t>
  </si>
  <si>
    <t>DIÁRIA</t>
  </si>
  <si>
    <t>Caxambu</t>
  </si>
  <si>
    <t>Fortaleza</t>
  </si>
  <si>
    <t>CE</t>
  </si>
  <si>
    <t>Simples</t>
  </si>
  <si>
    <t>Pousada Alimar</t>
  </si>
  <si>
    <t>Natal</t>
  </si>
  <si>
    <t>RN</t>
  </si>
  <si>
    <t>Pousada Beira Mar</t>
  </si>
  <si>
    <t>João Pessoa</t>
  </si>
  <si>
    <t>PA</t>
  </si>
  <si>
    <t>Cidade</t>
  </si>
  <si>
    <t>Sambura</t>
  </si>
  <si>
    <t>Olinda</t>
  </si>
  <si>
    <t>PE</t>
  </si>
  <si>
    <t>Completa</t>
  </si>
  <si>
    <t>Coral</t>
  </si>
  <si>
    <t>Recife</t>
  </si>
  <si>
    <t>Rio de Janeiro</t>
  </si>
  <si>
    <t>Solar Porto de Galinhas</t>
  </si>
  <si>
    <t>Ipojuca</t>
  </si>
  <si>
    <t>Salvador</t>
  </si>
  <si>
    <t>La Bell Veronique</t>
  </si>
  <si>
    <t>Maceió</t>
  </si>
  <si>
    <t>AL</t>
  </si>
  <si>
    <t>Atalia Hotel</t>
  </si>
  <si>
    <t>Aracaju</t>
  </si>
  <si>
    <t>SE</t>
  </si>
  <si>
    <t>F. de Santana</t>
  </si>
  <si>
    <t>BA</t>
  </si>
  <si>
    <t>Classe</t>
  </si>
  <si>
    <t>Itapua Praia Hotel</t>
  </si>
  <si>
    <t>Pousada de Brasília</t>
  </si>
  <si>
    <t>Porto Seguro</t>
  </si>
  <si>
    <t>Center Plaza Hotel</t>
  </si>
  <si>
    <t>Vitória</t>
  </si>
  <si>
    <t>ES</t>
  </si>
  <si>
    <t>Pousada do Pescador</t>
  </si>
  <si>
    <t>Búzios</t>
  </si>
  <si>
    <t>RJ</t>
  </si>
  <si>
    <t>Hotel Araruama</t>
  </si>
  <si>
    <t>Araruama</t>
  </si>
  <si>
    <t>Hilton Hotel</t>
  </si>
  <si>
    <t xml:space="preserve">São Paulo </t>
  </si>
  <si>
    <t>SP</t>
  </si>
  <si>
    <t>Estado</t>
  </si>
  <si>
    <t>Hotel Vila Rica</t>
  </si>
  <si>
    <t>Campinas</t>
  </si>
  <si>
    <t>Hotel Jundiaí</t>
  </si>
  <si>
    <t>Jundiaí</t>
  </si>
  <si>
    <t>Óton Palace Hotel</t>
  </si>
  <si>
    <t>Rio Grande</t>
  </si>
  <si>
    <t>Itu</t>
  </si>
  <si>
    <t>Pousada Tia Maria</t>
  </si>
  <si>
    <t>Belo Horizonte</t>
  </si>
  <si>
    <t>MG</t>
  </si>
  <si>
    <t>Hotel Arara Azul</t>
  </si>
  <si>
    <t>Helton Hotel</t>
  </si>
  <si>
    <t>Hotel Vila Formosa</t>
  </si>
  <si>
    <t>Hotel Jarinu</t>
  </si>
  <si>
    <t>Palace Hotel</t>
  </si>
  <si>
    <t>Rio Grande Hotel</t>
  </si>
  <si>
    <t>Pousada Tia Chica</t>
  </si>
  <si>
    <t>Solar Coral</t>
  </si>
  <si>
    <t>Hotel Solar Porto</t>
  </si>
  <si>
    <t>Hotel Veronique</t>
  </si>
  <si>
    <t>Hilia Hotel</t>
  </si>
  <si>
    <t>Pousada Sambura</t>
  </si>
  <si>
    <t>Pousada Itapua Praia Mar</t>
  </si>
  <si>
    <t>Pousada do Vento</t>
  </si>
  <si>
    <t>Hotel Caxambu</t>
  </si>
  <si>
    <t>Hotel e Pousada Alimar</t>
  </si>
  <si>
    <t>Hotel Beira Mar</t>
  </si>
  <si>
    <t>Pousada Coral</t>
  </si>
  <si>
    <t>Solar Porto</t>
  </si>
  <si>
    <t>Data de Vencimento</t>
  </si>
  <si>
    <t>Valor</t>
  </si>
  <si>
    <t>Data de Pagamento</t>
  </si>
  <si>
    <t>Cor</t>
  </si>
  <si>
    <t>João</t>
  </si>
  <si>
    <t>Motorola RAZR V8 GSM</t>
  </si>
  <si>
    <t>Dourado</t>
  </si>
  <si>
    <t>José</t>
  </si>
  <si>
    <t>Motorola W510</t>
  </si>
  <si>
    <t>Prata</t>
  </si>
  <si>
    <t>Motorola ROKR U9 GSM</t>
  </si>
  <si>
    <t>Preto</t>
  </si>
  <si>
    <t>Tadeu</t>
  </si>
  <si>
    <t>Motorola U3 PEBL GSM</t>
  </si>
  <si>
    <t>Azul</t>
  </si>
  <si>
    <t>Produto</t>
  </si>
  <si>
    <t>Estoque Mínimo</t>
  </si>
  <si>
    <t>Unidade</t>
  </si>
  <si>
    <t>Estoque Atual</t>
  </si>
  <si>
    <t>Posição Estoque</t>
  </si>
  <si>
    <t>Balas</t>
  </si>
  <si>
    <t>Pacote</t>
  </si>
  <si>
    <t>Bolachas</t>
  </si>
  <si>
    <t>Chicletes</t>
  </si>
  <si>
    <t>Caixa</t>
  </si>
  <si>
    <t>Chocolates</t>
  </si>
  <si>
    <t>Pipocas</t>
  </si>
  <si>
    <t>Qtde de Hotéis</t>
  </si>
  <si>
    <t>Qtde Hotéis</t>
  </si>
  <si>
    <t>Estrelas</t>
  </si>
  <si>
    <t>Pereira</t>
  </si>
  <si>
    <t>% Lucro Desejado</t>
  </si>
  <si>
    <t>Qtde Vendida</t>
  </si>
  <si>
    <t>Custo Unitário</t>
  </si>
  <si>
    <t>Instruções</t>
  </si>
  <si>
    <t>Total a Pagar</t>
  </si>
  <si>
    <t>Valor do Desconto</t>
  </si>
  <si>
    <t>Ex. 1</t>
  </si>
  <si>
    <t>Ex. 2</t>
  </si>
  <si>
    <t>Ex. 3</t>
  </si>
  <si>
    <t>Ex. 4</t>
  </si>
  <si>
    <t>Ex. 5</t>
  </si>
  <si>
    <t>Ex. 6</t>
  </si>
  <si>
    <t>Desconto do mês</t>
  </si>
  <si>
    <r>
      <rPr>
        <b/>
        <sz val="11"/>
        <color rgb="FFFF0000"/>
        <rFont val="Calibri"/>
        <family val="2"/>
        <scheme val="minor"/>
      </rPr>
      <t>Ex. 4</t>
    </r>
    <r>
      <rPr>
        <sz val="11"/>
        <color theme="1"/>
        <rFont val="Calibri"/>
        <family val="2"/>
        <scheme val="minor"/>
      </rPr>
      <t xml:space="preserve"> - Calcule o Total a Pagar utilizando o Valor total da Venda e o Valor do desconto, se houver. </t>
    </r>
  </si>
  <si>
    <t>Valor Total da Venda</t>
  </si>
  <si>
    <t>Valor da Venda Unitária</t>
  </si>
  <si>
    <r>
      <rPr>
        <b/>
        <sz val="11"/>
        <color rgb="FFFF0000"/>
        <rFont val="Calibri"/>
        <family val="2"/>
        <scheme val="minor"/>
      </rPr>
      <t>Ex. 1</t>
    </r>
    <r>
      <rPr>
        <sz val="11"/>
        <color theme="1"/>
        <rFont val="Calibri"/>
        <family val="2"/>
        <scheme val="minor"/>
      </rPr>
      <t xml:space="preserve"> - Calcule o Valor da Venda Unitária utilizando o Custo Unitário e o % de Lucro Desejado.</t>
    </r>
  </si>
  <si>
    <r>
      <rPr>
        <b/>
        <sz val="11"/>
        <color rgb="FFFF0000"/>
        <rFont val="Calibri"/>
        <family val="2"/>
        <scheme val="minor"/>
      </rPr>
      <t>Ex. 2</t>
    </r>
    <r>
      <rPr>
        <sz val="11"/>
        <color theme="1"/>
        <rFont val="Calibri"/>
        <family val="2"/>
        <scheme val="minor"/>
      </rPr>
      <t xml:space="preserve"> - Calcule o Valor Total da Venda utilizando o Valor da Venda Unitária e a Qtde Vendida.</t>
    </r>
  </si>
  <si>
    <r>
      <rPr>
        <b/>
        <sz val="11"/>
        <color rgb="FFFF0000"/>
        <rFont val="Calibri"/>
        <family val="2"/>
        <scheme val="minor"/>
      </rPr>
      <t>Ex. 3</t>
    </r>
    <r>
      <rPr>
        <sz val="11"/>
        <color theme="1"/>
        <rFont val="Calibri"/>
        <family val="2"/>
        <scheme val="minor"/>
      </rPr>
      <t xml:space="preserve"> - Calcule o valor do desconto, sendo que os Valores Totais de Vendas acima de R$ 3.000,00 terão direito ao Desconto do mês.</t>
    </r>
  </si>
  <si>
    <t>Estoque Real</t>
  </si>
  <si>
    <r>
      <rPr>
        <b/>
        <sz val="11"/>
        <color rgb="FFFF0000"/>
        <rFont val="Calibri"/>
        <family val="2"/>
        <scheme val="minor"/>
      </rPr>
      <t>Ex. 6</t>
    </r>
    <r>
      <rPr>
        <sz val="10"/>
        <rFont val="Arial"/>
        <family val="2"/>
      </rPr>
      <t xml:space="preserve"> </t>
    </r>
    <r>
      <rPr>
        <sz val="11"/>
        <rFont val="Calibri"/>
        <family val="2"/>
        <scheme val="minor"/>
      </rPr>
      <t>- Se o Estoque Atual for inferior ao Estoque Mínimo, a Posição do Estoque será "Efetuar Pedido", caso contrário a Posição do Estoque será "Normal".</t>
    </r>
  </si>
  <si>
    <t xml:space="preserve">  </t>
  </si>
  <si>
    <r>
      <rPr>
        <b/>
        <sz val="11"/>
        <color rgb="FFFF0000"/>
        <rFont val="Calibri"/>
        <family val="2"/>
        <scheme val="minor"/>
      </rPr>
      <t>Ex. 5</t>
    </r>
    <r>
      <rPr>
        <sz val="11"/>
        <color theme="1"/>
        <rFont val="Calibri"/>
        <family val="2"/>
        <scheme val="minor"/>
      </rPr>
      <t xml:space="preserve"> - Calcule a quantidade de produtos que compõem o estoque atual, utilizando o Estoque Real e a Qtde Vendida.</t>
    </r>
  </si>
  <si>
    <t>Cristiane Mores</t>
  </si>
  <si>
    <t>Lauro Gomes</t>
  </si>
  <si>
    <t>Abilio Diniz</t>
  </si>
  <si>
    <t>Carlos Prado</t>
  </si>
  <si>
    <t>Roberto Vaz</t>
  </si>
  <si>
    <t>Claudio Lino</t>
  </si>
  <si>
    <t>Marcio Correa</t>
  </si>
  <si>
    <t>Marcos Vilella</t>
  </si>
  <si>
    <t>Rodrigo Ruiz</t>
  </si>
  <si>
    <t>Osvaldo Alencar</t>
  </si>
  <si>
    <t>Carlos Aguiar</t>
  </si>
  <si>
    <t>Simone Lins</t>
  </si>
  <si>
    <t>Marcel Castro</t>
  </si>
  <si>
    <t>Relatório 1</t>
  </si>
  <si>
    <t>Relatório 4</t>
  </si>
  <si>
    <t>Relatório 3</t>
  </si>
  <si>
    <t>Relatório 2</t>
  </si>
  <si>
    <t>CONTROLE DE HOTÉIS - CIA É NÓIS NO EXCEL</t>
  </si>
  <si>
    <t>Relório 1 - Calcule a quantidade total de hotéis por Cidade.</t>
  </si>
  <si>
    <t>Relório 2 - Calcule a quantidade total de hotéis por Classe.</t>
  </si>
  <si>
    <t>Relório 3 - Calcule a quantidade total de hotéis por Estado.</t>
  </si>
  <si>
    <t>Relório 4 - Calcule a quantidade total de hotéis por Estrelas.</t>
  </si>
  <si>
    <t>CONTROLE DE VENDAS - CIA É NÓIS NO EXCEL</t>
  </si>
  <si>
    <t>Valor Total Vendido</t>
  </si>
  <si>
    <t xml:space="preserve">Valor Total Vendido </t>
  </si>
  <si>
    <t>CONTROLE DE COMISSÃO - CIA É NÓIS NO EXCEL</t>
  </si>
  <si>
    <t>CONTROLE DE VENDAS E ESTOQUE - CIA É NÓIS NO EXCEL</t>
  </si>
  <si>
    <t>Relório 1 - Calcule o Valor Total Vendido por Cor.</t>
  </si>
  <si>
    <t>Aparelho</t>
  </si>
  <si>
    <t>Relório 2 - Calcule o Valor Total Vendido por Aparelho.</t>
  </si>
  <si>
    <t>Relório 3 - Calcule o Valor Total Vendido por Vendedor.</t>
  </si>
  <si>
    <t>Relório 4 - Calcule o Valor Total Vendido por Data de Pagamento.</t>
  </si>
  <si>
    <t>Calcule o Desconto considerando que:</t>
  </si>
  <si>
    <t>Se a quantidade comprada for maior do que 10 e o Total maior ou igual a 400, o desconto será de 10% sobre o Total.
Caso contrário, o desconto será de 5% sobre o Total</t>
  </si>
  <si>
    <r>
      <t xml:space="preserve">1 - Vendedores que atuam no </t>
    </r>
    <r>
      <rPr>
        <b/>
        <sz val="10"/>
        <rFont val="Arial"/>
        <family val="2"/>
      </rPr>
      <t>Norte</t>
    </r>
    <r>
      <rPr>
        <sz val="10"/>
        <rFont val="Arial"/>
        <family val="2"/>
      </rPr>
      <t xml:space="preserve"> ou </t>
    </r>
    <r>
      <rPr>
        <b/>
        <sz val="10"/>
        <rFont val="Arial"/>
        <family val="2"/>
      </rPr>
      <t>Leste</t>
    </r>
    <r>
      <rPr>
        <sz val="10"/>
        <rFont val="Arial"/>
        <family val="2"/>
      </rPr>
      <t xml:space="preserve"> recebem 5% de comissão
2 - Vendedores que atuam no </t>
    </r>
    <r>
      <rPr>
        <b/>
        <sz val="10"/>
        <rFont val="Arial"/>
        <family val="2"/>
      </rPr>
      <t>Sul</t>
    </r>
    <r>
      <rPr>
        <sz val="10"/>
        <rFont val="Arial"/>
        <family val="2"/>
      </rPr>
      <t xml:space="preserve"> ou </t>
    </r>
    <r>
      <rPr>
        <b/>
        <sz val="10"/>
        <rFont val="Arial"/>
        <family val="2"/>
      </rPr>
      <t>Oeste</t>
    </r>
    <r>
      <rPr>
        <sz val="10"/>
        <rFont val="Arial"/>
        <family val="2"/>
      </rPr>
      <t xml:space="preserve"> recebem 10% de comissão
3 - Vendedores que atuam no </t>
    </r>
    <r>
      <rPr>
        <b/>
        <sz val="10"/>
        <rFont val="Arial"/>
        <family val="2"/>
      </rPr>
      <t>ABC</t>
    </r>
    <r>
      <rPr>
        <sz val="10"/>
        <rFont val="Arial"/>
        <family val="2"/>
      </rPr>
      <t xml:space="preserve"> não recebem comissão, apenas Bônus de R$ 1.000,00</t>
    </r>
  </si>
  <si>
    <t>ETEC Prof. Aprígio Gonzaga</t>
  </si>
  <si>
    <t>Nº</t>
  </si>
  <si>
    <t>Aluno</t>
  </si>
  <si>
    <t>1º Bimestre</t>
  </si>
  <si>
    <t>2º Bimestre</t>
  </si>
  <si>
    <t>3º Bimestre</t>
  </si>
  <si>
    <t>4º Bimestre</t>
  </si>
  <si>
    <t>Total de Menções</t>
  </si>
  <si>
    <t>Média</t>
  </si>
  <si>
    <t>Nota Máxima</t>
  </si>
  <si>
    <t>Nota Mínima</t>
  </si>
  <si>
    <t>Percentual de falta</t>
  </si>
  <si>
    <t>Situação por nota</t>
  </si>
  <si>
    <t>Situação por faltas</t>
  </si>
  <si>
    <t>Situação Final</t>
  </si>
  <si>
    <t>Adriano</t>
  </si>
  <si>
    <t>Alessandra</t>
  </si>
  <si>
    <t>Barbara</t>
  </si>
  <si>
    <t>Bruno</t>
  </si>
  <si>
    <t>Camila</t>
  </si>
  <si>
    <t>Carlos</t>
  </si>
  <si>
    <t>Diego</t>
  </si>
  <si>
    <t>Diogo</t>
  </si>
  <si>
    <t>Fábio</t>
  </si>
  <si>
    <t>Fernanda</t>
  </si>
  <si>
    <t>Gabriela</t>
  </si>
  <si>
    <t>Gabrielly</t>
  </si>
  <si>
    <t>Heidy</t>
  </si>
  <si>
    <t>Isabel</t>
  </si>
  <si>
    <t>Juliano</t>
  </si>
  <si>
    <t>Karine</t>
  </si>
  <si>
    <t>Marcio</t>
  </si>
  <si>
    <t>Mariana</t>
  </si>
  <si>
    <t>Nubia</t>
  </si>
  <si>
    <t>Orlando</t>
  </si>
  <si>
    <t>Coluna L - O aluno está parcialmente aprovado se tiver nota maior ou igual a 6. Retonar "Aprovado" ou "Reprovado".</t>
  </si>
  <si>
    <t>Coluna L - O aluno está parcialmente aprovado se tiver o percentual de faltas menor que 25%. Retonar "Aprovado" ou "Reprovado".</t>
  </si>
  <si>
    <t>Coluna N - O Aluno fará recuperação caso não esteja aprovado, tenha nota maior que 4 ou percentual de falta menor 40%. Retornar "Recuperação" ou "Retido".</t>
  </si>
  <si>
    <t>Coluna O - O aluno está promovido se estiver aprovado em notas e em faltas e não estiver em recuperação. Retornar Promovido ou Retido.</t>
  </si>
  <si>
    <t>Aplicativos Informatizados da Administração</t>
  </si>
  <si>
    <t>Normal</t>
  </si>
  <si>
    <t>Efetuar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</si>
</sst>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_(* #,##0_);_(* \(#,##0\);_(* &quot;-&quot;??_);_(@_)"/>
    <numFmt numFmtId="167" formatCode="_([$R$ -416]* #,##0.00_);_([$R$ -416]* \(#,##0.00\);_([$R$ -416]* &quot;-&quot;??_);_(@_)"/>
    <numFmt numFmtId="168" formatCode="_-[$R$-416]\ * #,##0.00_-;\-[$R$-416]\ * #,##0.00_-;_-[$R$-416]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b/>
      <i/>
      <sz val="10"/>
      <color indexed="9"/>
      <name val="Arial"/>
      <family val="2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</font>
    <font>
      <b/>
      <sz val="16"/>
      <color theme="5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164" fontId="9" fillId="0" borderId="5">
      <alignment horizontal="center" vertical="center"/>
    </xf>
  </cellStyleXfs>
  <cellXfs count="12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/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horizontal="center"/>
    </xf>
    <xf numFmtId="165" fontId="0" fillId="0" borderId="5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6" xfId="4" applyFont="1" applyFill="1" applyBorder="1" applyAlignment="1">
      <alignment horizontal="center" vertical="center" wrapText="1"/>
    </xf>
    <xf numFmtId="0" fontId="5" fillId="4" borderId="2" xfId="4" applyFont="1" applyFill="1" applyBorder="1" applyAlignment="1">
      <alignment horizontal="center" vertical="center" wrapText="1"/>
    </xf>
    <xf numFmtId="0" fontId="5" fillId="4" borderId="7" xfId="4" applyFont="1" applyFill="1" applyBorder="1" applyAlignment="1">
      <alignment horizontal="center" vertical="center" wrapText="1"/>
    </xf>
    <xf numFmtId="0" fontId="3" fillId="0" borderId="5" xfId="4" applyFont="1" applyBorder="1" applyAlignment="1">
      <alignment horizontal="center"/>
    </xf>
    <xf numFmtId="165" fontId="3" fillId="0" borderId="5" xfId="5" applyNumberFormat="1" applyFont="1" applyBorder="1" applyAlignment="1" applyProtection="1">
      <alignment horizontal="center"/>
    </xf>
    <xf numFmtId="0" fontId="7" fillId="4" borderId="1" xfId="4" applyFont="1" applyFill="1" applyBorder="1" applyAlignment="1">
      <alignment horizontal="center"/>
    </xf>
    <xf numFmtId="0" fontId="1" fillId="0" borderId="1" xfId="4" applyBorder="1" applyAlignment="1">
      <alignment horizontal="center"/>
    </xf>
    <xf numFmtId="0" fontId="5" fillId="4" borderId="1" xfId="4" applyFont="1" applyFill="1" applyBorder="1" applyAlignment="1">
      <alignment horizontal="center" vertical="center" wrapText="1"/>
    </xf>
    <xf numFmtId="0" fontId="1" fillId="0" borderId="0" xfId="4" applyAlignment="1">
      <alignment horizontal="center"/>
    </xf>
    <xf numFmtId="0" fontId="2" fillId="4" borderId="6" xfId="0" applyFont="1" applyFill="1" applyBorder="1" applyAlignment="1">
      <alignment horizontal="center" vertical="center" wrapText="1"/>
    </xf>
    <xf numFmtId="165" fontId="2" fillId="4" borderId="2" xfId="1" applyNumberFormat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3" fillId="0" borderId="1" xfId="2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9" fontId="9" fillId="0" borderId="5" xfId="3" applyFont="1" applyBorder="1" applyAlignment="1">
      <alignment horizontal="center" vertical="center"/>
    </xf>
    <xf numFmtId="9" fontId="9" fillId="0" borderId="8" xfId="3" applyFont="1" applyBorder="1" applyAlignment="1">
      <alignment horizontal="center" vertical="center"/>
    </xf>
    <xf numFmtId="165" fontId="9" fillId="0" borderId="5" xfId="1" applyNumberFormat="1" applyFont="1" applyBorder="1" applyAlignment="1">
      <alignment horizontal="center"/>
    </xf>
    <xf numFmtId="0" fontId="0" fillId="0" borderId="1" xfId="4" applyFont="1" applyBorder="1" applyAlignment="1">
      <alignment horizontal="center"/>
    </xf>
    <xf numFmtId="164" fontId="2" fillId="3" borderId="12" xfId="6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166" fontId="9" fillId="0" borderId="5" xfId="1" applyNumberFormat="1" applyFont="1" applyBorder="1" applyAlignment="1">
      <alignment horizontal="center"/>
    </xf>
    <xf numFmtId="44" fontId="9" fillId="0" borderId="5" xfId="2" applyFont="1" applyBorder="1" applyAlignment="1">
      <alignment horizontal="center"/>
    </xf>
    <xf numFmtId="165" fontId="9" fillId="6" borderId="0" xfId="1" applyNumberFormat="1" applyFont="1" applyFill="1" applyBorder="1" applyAlignment="1">
      <alignment horizontal="center"/>
    </xf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164" fontId="9" fillId="0" borderId="20" xfId="6" applyBorder="1">
      <alignment horizontal="center" vertical="center"/>
    </xf>
    <xf numFmtId="164" fontId="9" fillId="0" borderId="5" xfId="6">
      <alignment horizontal="center" vertical="center"/>
    </xf>
    <xf numFmtId="165" fontId="9" fillId="0" borderId="21" xfId="1" applyNumberFormat="1" applyFont="1" applyBorder="1" applyAlignment="1">
      <alignment horizontal="center"/>
    </xf>
    <xf numFmtId="164" fontId="9" fillId="0" borderId="22" xfId="6" applyBorder="1">
      <alignment horizontal="center" vertical="center"/>
    </xf>
    <xf numFmtId="165" fontId="9" fillId="0" borderId="23" xfId="1" applyNumberFormat="1" applyFont="1" applyBorder="1" applyAlignment="1">
      <alignment horizontal="center"/>
    </xf>
    <xf numFmtId="166" fontId="9" fillId="0" borderId="23" xfId="1" applyNumberFormat="1" applyFont="1" applyBorder="1" applyAlignment="1">
      <alignment horizontal="center"/>
    </xf>
    <xf numFmtId="44" fontId="9" fillId="0" borderId="23" xfId="2" applyFont="1" applyBorder="1" applyAlignment="1">
      <alignment horizontal="center"/>
    </xf>
    <xf numFmtId="165" fontId="9" fillId="0" borderId="24" xfId="1" applyNumberFormat="1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164" fontId="2" fillId="5" borderId="5" xfId="6" applyFont="1" applyFill="1" applyAlignment="1">
      <alignment horizontal="center" vertical="center" wrapText="1"/>
    </xf>
    <xf numFmtId="44" fontId="3" fillId="0" borderId="1" xfId="2" applyFont="1" applyBorder="1"/>
    <xf numFmtId="165" fontId="4" fillId="0" borderId="33" xfId="1" applyNumberFormat="1" applyFont="1" applyBorder="1" applyAlignment="1">
      <alignment horizontal="center"/>
    </xf>
    <xf numFmtId="0" fontId="1" fillId="6" borderId="0" xfId="4" applyFill="1" applyAlignment="1">
      <alignment horizontal="center" vertical="center" wrapText="1"/>
    </xf>
    <xf numFmtId="0" fontId="1" fillId="6" borderId="0" xfId="4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 wrapText="1"/>
    </xf>
    <xf numFmtId="0" fontId="0" fillId="6" borderId="0" xfId="0" applyFill="1"/>
    <xf numFmtId="0" fontId="3" fillId="6" borderId="0" xfId="0" applyFont="1" applyFill="1"/>
    <xf numFmtId="14" fontId="2" fillId="4" borderId="2" xfId="0" applyNumberFormat="1" applyFont="1" applyFill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14" fontId="3" fillId="0" borderId="1" xfId="2" applyNumberFormat="1" applyFont="1" applyBorder="1" applyAlignment="1">
      <alignment horizontal="center"/>
    </xf>
    <xf numFmtId="167" fontId="0" fillId="0" borderId="9" xfId="1" applyNumberFormat="1" applyFont="1" applyBorder="1" applyAlignment="1">
      <alignment horizontal="center"/>
    </xf>
    <xf numFmtId="167" fontId="0" fillId="0" borderId="5" xfId="1" applyNumberFormat="1" applyFont="1" applyBorder="1" applyAlignment="1">
      <alignment horizontal="center"/>
    </xf>
    <xf numFmtId="0" fontId="0" fillId="6" borderId="0" xfId="0" applyFill="1" applyAlignment="1">
      <alignment wrapText="1"/>
    </xf>
    <xf numFmtId="0" fontId="0" fillId="6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165" fontId="9" fillId="6" borderId="14" xfId="1" applyNumberFormat="1" applyFont="1" applyFill="1" applyBorder="1" applyAlignment="1">
      <alignment horizontal="center"/>
    </xf>
    <xf numFmtId="9" fontId="0" fillId="6" borderId="0" xfId="0" applyNumberForma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3" applyFont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168" fontId="9" fillId="0" borderId="5" xfId="1" applyNumberFormat="1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18" fillId="7" borderId="1" xfId="0" applyFont="1" applyFill="1" applyBorder="1" applyAlignment="1">
      <alignment horizontal="center"/>
    </xf>
    <xf numFmtId="0" fontId="19" fillId="6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3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3" fillId="0" borderId="42" xfId="0" applyFont="1" applyBorder="1" applyAlignment="1">
      <alignment horizontal="left" vertical="center" wrapText="1"/>
    </xf>
    <xf numFmtId="0" fontId="3" fillId="0" borderId="43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14" fillId="7" borderId="15" xfId="0" applyFont="1" applyFill="1" applyBorder="1" applyAlignment="1">
      <alignment horizontal="center"/>
    </xf>
    <xf numFmtId="0" fontId="14" fillId="7" borderId="16" xfId="0" applyFont="1" applyFill="1" applyBorder="1" applyAlignment="1">
      <alignment horizontal="center"/>
    </xf>
    <xf numFmtId="0" fontId="14" fillId="7" borderId="17" xfId="0" applyFont="1" applyFill="1" applyBorder="1" applyAlignment="1">
      <alignment horizontal="center"/>
    </xf>
    <xf numFmtId="0" fontId="15" fillId="8" borderId="15" xfId="0" applyFont="1" applyFill="1" applyBorder="1" applyAlignment="1">
      <alignment horizontal="center"/>
    </xf>
    <xf numFmtId="0" fontId="15" fillId="8" borderId="16" xfId="0" applyFont="1" applyFill="1" applyBorder="1" applyAlignment="1">
      <alignment horizontal="center"/>
    </xf>
    <xf numFmtId="0" fontId="15" fillId="8" borderId="41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 indent="3"/>
    </xf>
    <xf numFmtId="0" fontId="15" fillId="8" borderId="36" xfId="0" applyFont="1" applyFill="1" applyBorder="1" applyAlignment="1">
      <alignment horizontal="center"/>
    </xf>
    <xf numFmtId="0" fontId="15" fillId="8" borderId="37" xfId="0" applyFont="1" applyFill="1" applyBorder="1" applyAlignment="1">
      <alignment horizontal="center"/>
    </xf>
    <xf numFmtId="0" fontId="16" fillId="9" borderId="40" xfId="0" applyFont="1" applyFill="1" applyBorder="1" applyAlignment="1">
      <alignment horizontal="center"/>
    </xf>
    <xf numFmtId="0" fontId="17" fillId="8" borderId="15" xfId="0" applyFont="1" applyFill="1" applyBorder="1" applyAlignment="1">
      <alignment horizontal="center"/>
    </xf>
    <xf numFmtId="0" fontId="17" fillId="8" borderId="16" xfId="0" applyFont="1" applyFill="1" applyBorder="1" applyAlignment="1">
      <alignment horizontal="center"/>
    </xf>
    <xf numFmtId="0" fontId="16" fillId="9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12" fillId="7" borderId="35" xfId="4" applyFont="1" applyFill="1" applyBorder="1" applyAlignment="1">
      <alignment horizontal="center"/>
    </xf>
    <xf numFmtId="0" fontId="12" fillId="7" borderId="27" xfId="4" applyFont="1" applyFill="1" applyBorder="1" applyAlignment="1">
      <alignment horizontal="center"/>
    </xf>
    <xf numFmtId="0" fontId="12" fillId="7" borderId="34" xfId="4" applyFont="1" applyFill="1" applyBorder="1" applyAlignment="1">
      <alignment horizontal="center"/>
    </xf>
    <xf numFmtId="0" fontId="12" fillId="7" borderId="33" xfId="4" applyFont="1" applyFill="1" applyBorder="1" applyAlignment="1">
      <alignment horizontal="center"/>
    </xf>
    <xf numFmtId="0" fontId="15" fillId="8" borderId="38" xfId="0" applyFont="1" applyFill="1" applyBorder="1" applyAlignment="1">
      <alignment horizontal="center"/>
    </xf>
    <xf numFmtId="0" fontId="0" fillId="0" borderId="1" xfId="4" applyFont="1" applyBorder="1" applyAlignment="1">
      <alignment horizontal="left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40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12" fillId="7" borderId="1" xfId="4" applyFont="1" applyFill="1" applyBorder="1" applyAlignment="1">
      <alignment horizontal="center"/>
    </xf>
    <xf numFmtId="0" fontId="15" fillId="8" borderId="17" xfId="0" applyFont="1" applyFill="1" applyBorder="1" applyAlignment="1">
      <alignment horizontal="center"/>
    </xf>
  </cellXfs>
  <cellStyles count="7">
    <cellStyle name="Borda_RAL" xfId="6" xr:uid="{00000000-0005-0000-0000-000000000000}"/>
    <cellStyle name="Moeda" xfId="2" builtinId="4"/>
    <cellStyle name="Normal" xfId="0" builtinId="0"/>
    <cellStyle name="Normal 2" xfId="4" xr:uid="{00000000-0005-0000-0000-000003000000}"/>
    <cellStyle name="Porcentagem" xfId="3" builtinId="5"/>
    <cellStyle name="Separador de milhares 2" xfId="5" xr:uid="{00000000-0005-0000-0000-000005000000}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ENRIQUE/ETEC/Excel/Curso%20Excel%2017%2005%2011/Curso%20Excel%20Avan&#231;ad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HENRIQUE/ETEC/Excel/Curso%20Excel%2017%2005%2011/Exerc&#237;cios%20Complementa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F. Condicional"/>
      <sheetName val="Validação de dados"/>
      <sheetName val="Nomeando Células"/>
      <sheetName val="Tabela de Celulares"/>
      <sheetName val="Função SE"/>
      <sheetName val="Funções Cont.se"/>
      <sheetName val="Vendas"/>
      <sheetName val="Cli_Vendas"/>
      <sheetName val="Pesq_Produtos"/>
      <sheetName val="Prods_mês"/>
      <sheetName val="Classificação de Produtos"/>
      <sheetName val="Funções_Texto1"/>
      <sheetName val="Funções_Texto2"/>
      <sheetName val="E() e OU()"/>
      <sheetName val="Vendas com Erros"/>
      <sheetName val="Função Somase"/>
      <sheetName val="Funções Contadoras"/>
      <sheetName val="Classificar, Filtros, funções"/>
      <sheetName val="subtotais"/>
      <sheetName val="Comentarios e proteção"/>
      <sheetName val="Vinculos"/>
      <sheetName val="Atingir Meta"/>
      <sheetName val="Auditoria"/>
      <sheetName val="Cenários"/>
      <sheetName val="SERVIÇO"/>
      <sheetName val="Exercse1"/>
      <sheetName val="Exercse2"/>
      <sheetName val="Exercse3"/>
      <sheetName val="Exercse4"/>
      <sheetName val="Exercse5"/>
      <sheetName val="ExercSomase1"/>
      <sheetName val="ExercSomase2"/>
      <sheetName val="ExercSomase3"/>
      <sheetName val="ExercSomase4"/>
      <sheetName val="ExercProcv1"/>
      <sheetName val="ExercProcv2"/>
      <sheetName val="ExercProcv3"/>
      <sheetName val="ExercProcv4"/>
      <sheetName val="ExercProcv5"/>
      <sheetName val="ExercProcv6"/>
      <sheetName val="ExercProcv7"/>
      <sheetName val="Exercout1"/>
      <sheetName val="Exercout2"/>
      <sheetName val="Exercout4"/>
      <sheetName val="Exercout5"/>
      <sheetName val="Dinâmicas"/>
    </sheetNames>
    <sheetDataSet>
      <sheetData sheetId="0"/>
      <sheetData sheetId="1"/>
      <sheetData sheetId="2"/>
      <sheetData sheetId="3">
        <row r="8">
          <cell r="G8" t="str">
            <v>Nome errado da linha - para corrigir inserir - nome- definir (aparece janela com os nomes existentes) - possibilitando alterar os dados de origem ou excluir o nome errado)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ÇO"/>
      <sheetName val="FORNECEDOR"/>
      <sheetName val="Exerc INDICE (aluno)"/>
      <sheetName val="Exerc PROCH (aluno)"/>
      <sheetName val="Exerc Função Condicional"/>
      <sheetName val="Exerc Atingir Meta"/>
    </sheetNames>
    <sheetDataSet>
      <sheetData sheetId="0" refreshError="1"/>
      <sheetData sheetId="1" refreshError="1"/>
      <sheetData sheetId="2" refreshError="1"/>
      <sheetData sheetId="3">
        <row r="1">
          <cell r="H1" t="str">
            <v>SUL</v>
          </cell>
        </row>
        <row r="2">
          <cell r="H2" t="str">
            <v>LESTE</v>
          </cell>
        </row>
        <row r="3">
          <cell r="H3" t="str">
            <v xml:space="preserve">NORTE </v>
          </cell>
        </row>
        <row r="4">
          <cell r="H4" t="str">
            <v>OESTE</v>
          </cell>
        </row>
        <row r="5">
          <cell r="H5" t="str">
            <v>ABC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7"/>
  <sheetViews>
    <sheetView zoomScale="115" zoomScaleNormal="115" workbookViewId="0">
      <selection activeCell="K5" sqref="K5"/>
    </sheetView>
  </sheetViews>
  <sheetFormatPr defaultRowHeight="15" x14ac:dyDescent="0.25"/>
  <cols>
    <col min="1" max="1" width="3.28515625" style="11" bestFit="1" customWidth="1"/>
    <col min="2" max="2" width="10.7109375" bestFit="1" customWidth="1"/>
    <col min="3" max="6" width="11.28515625" hidden="1" customWidth="1"/>
    <col min="7" max="7" width="11.5703125" hidden="1" customWidth="1"/>
    <col min="8" max="8" width="9.140625" customWidth="1"/>
    <col min="9" max="9" width="12.7109375" hidden="1" customWidth="1"/>
    <col min="10" max="10" width="12.28515625" hidden="1" customWidth="1"/>
    <col min="11" max="11" width="11.140625" customWidth="1"/>
    <col min="12" max="12" width="21.5703125" style="11" customWidth="1"/>
    <col min="13" max="13" width="18.7109375" style="11" customWidth="1"/>
    <col min="14" max="14" width="13.7109375" customWidth="1"/>
    <col min="16" max="16" width="10.5703125" customWidth="1"/>
    <col min="18" max="18" width="18.42578125" bestFit="1" customWidth="1"/>
  </cols>
  <sheetData>
    <row r="1" spans="1:14" ht="21" x14ac:dyDescent="0.35">
      <c r="A1" s="81" t="s">
        <v>189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spans="1:14" ht="18.75" x14ac:dyDescent="0.3">
      <c r="A2" s="82" t="s">
        <v>228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 spans="1:14" ht="28.5" customHeight="1" x14ac:dyDescent="0.25">
      <c r="A3"/>
      <c r="G3" s="52" t="s">
        <v>137</v>
      </c>
      <c r="H3" s="52" t="s">
        <v>138</v>
      </c>
      <c r="I3" s="52" t="s">
        <v>139</v>
      </c>
      <c r="J3" s="52" t="s">
        <v>140</v>
      </c>
    </row>
    <row r="4" spans="1:14" ht="32.25" customHeight="1" x14ac:dyDescent="0.25">
      <c r="A4" s="29" t="s">
        <v>190</v>
      </c>
      <c r="B4" s="74" t="s">
        <v>191</v>
      </c>
      <c r="C4" s="74" t="s">
        <v>192</v>
      </c>
      <c r="D4" s="74" t="s">
        <v>193</v>
      </c>
      <c r="E4" s="74" t="s">
        <v>194</v>
      </c>
      <c r="F4" s="74" t="s">
        <v>195</v>
      </c>
      <c r="G4" s="75" t="s">
        <v>196</v>
      </c>
      <c r="H4" s="74" t="s">
        <v>197</v>
      </c>
      <c r="I4" s="74" t="s">
        <v>198</v>
      </c>
      <c r="J4" s="74" t="s">
        <v>199</v>
      </c>
      <c r="K4" s="75" t="s">
        <v>200</v>
      </c>
      <c r="L4" s="75" t="s">
        <v>201</v>
      </c>
      <c r="M4" s="75" t="s">
        <v>202</v>
      </c>
      <c r="N4" s="74" t="s">
        <v>203</v>
      </c>
    </row>
    <row r="5" spans="1:14" x14ac:dyDescent="0.25">
      <c r="A5" s="29">
        <v>1</v>
      </c>
      <c r="B5" s="3" t="s">
        <v>204</v>
      </c>
      <c r="C5" s="29">
        <v>10</v>
      </c>
      <c r="D5" s="29">
        <v>10</v>
      </c>
      <c r="E5" s="29">
        <v>10</v>
      </c>
      <c r="F5" s="29">
        <v>8</v>
      </c>
      <c r="G5" s="29">
        <f>SUM(C5:F5)</f>
        <v>38</v>
      </c>
      <c r="H5" s="29">
        <f t="shared" ref="H5:H69" si="0">AVERAGE(C5:F5)</f>
        <v>9.5</v>
      </c>
      <c r="I5" s="29">
        <f>MAX(C5:F5)</f>
        <v>10</v>
      </c>
      <c r="J5" s="29">
        <f>MIN(C5:F5)</f>
        <v>8</v>
      </c>
      <c r="K5" s="76">
        <v>0.24</v>
      </c>
      <c r="L5" s="29"/>
      <c r="M5" s="29"/>
      <c r="N5" s="3"/>
    </row>
    <row r="6" spans="1:14" x14ac:dyDescent="0.25">
      <c r="A6" s="29">
        <v>2</v>
      </c>
      <c r="B6" s="3" t="s">
        <v>205</v>
      </c>
      <c r="C6" s="29">
        <v>10</v>
      </c>
      <c r="D6" s="29">
        <v>8</v>
      </c>
      <c r="E6" s="29">
        <v>5</v>
      </c>
      <c r="F6" s="29">
        <v>10</v>
      </c>
      <c r="G6" s="29">
        <f t="shared" ref="G6:G69" si="1">SUM(C6:F6)</f>
        <v>33</v>
      </c>
      <c r="H6" s="29">
        <f t="shared" si="0"/>
        <v>8.25</v>
      </c>
      <c r="I6" s="29">
        <f t="shared" ref="I6:I69" si="2">MAX(C6:F6)</f>
        <v>10</v>
      </c>
      <c r="J6" s="29">
        <f t="shared" ref="J6:J69" si="3">MIN(C6:F6)</f>
        <v>5</v>
      </c>
      <c r="K6" s="76">
        <v>0.3</v>
      </c>
      <c r="L6" s="29"/>
      <c r="M6" s="29"/>
      <c r="N6" s="3"/>
    </row>
    <row r="7" spans="1:14" x14ac:dyDescent="0.25">
      <c r="A7" s="29">
        <v>3</v>
      </c>
      <c r="B7" s="3" t="s">
        <v>206</v>
      </c>
      <c r="C7" s="29">
        <v>7</v>
      </c>
      <c r="D7" s="29">
        <v>8</v>
      </c>
      <c r="E7" s="29">
        <v>5</v>
      </c>
      <c r="F7" s="29">
        <v>4</v>
      </c>
      <c r="G7" s="29">
        <f t="shared" si="1"/>
        <v>24</v>
      </c>
      <c r="H7" s="29">
        <f t="shared" si="0"/>
        <v>6</v>
      </c>
      <c r="I7" s="29">
        <f t="shared" si="2"/>
        <v>8</v>
      </c>
      <c r="J7" s="29">
        <f t="shared" si="3"/>
        <v>4</v>
      </c>
      <c r="K7" s="76">
        <v>0.75</v>
      </c>
      <c r="L7" s="29"/>
      <c r="M7" s="29"/>
      <c r="N7" s="3"/>
    </row>
    <row r="8" spans="1:14" x14ac:dyDescent="0.25">
      <c r="A8" s="29">
        <v>4</v>
      </c>
      <c r="B8" s="3" t="s">
        <v>207</v>
      </c>
      <c r="C8" s="29">
        <v>5</v>
      </c>
      <c r="D8" s="29">
        <v>8</v>
      </c>
      <c r="E8" s="29">
        <v>5</v>
      </c>
      <c r="F8" s="29">
        <v>4</v>
      </c>
      <c r="G8" s="29">
        <f t="shared" si="1"/>
        <v>22</v>
      </c>
      <c r="H8" s="29">
        <f t="shared" si="0"/>
        <v>5.5</v>
      </c>
      <c r="I8" s="29">
        <f t="shared" si="2"/>
        <v>8</v>
      </c>
      <c r="J8" s="29">
        <f t="shared" si="3"/>
        <v>4</v>
      </c>
      <c r="K8" s="76">
        <v>0.65</v>
      </c>
      <c r="L8" s="29"/>
      <c r="M8" s="29"/>
      <c r="N8" s="29"/>
    </row>
    <row r="9" spans="1:14" x14ac:dyDescent="0.25">
      <c r="A9" s="29">
        <v>5</v>
      </c>
      <c r="B9" s="3" t="s">
        <v>208</v>
      </c>
      <c r="C9" s="29">
        <v>7</v>
      </c>
      <c r="D9" s="29">
        <v>8</v>
      </c>
      <c r="E9" s="29">
        <v>5</v>
      </c>
      <c r="F9" s="29">
        <v>9</v>
      </c>
      <c r="G9" s="29">
        <f t="shared" si="1"/>
        <v>29</v>
      </c>
      <c r="H9" s="29">
        <f t="shared" si="0"/>
        <v>7.25</v>
      </c>
      <c r="I9" s="29">
        <f t="shared" si="2"/>
        <v>9</v>
      </c>
      <c r="J9" s="29">
        <f t="shared" si="3"/>
        <v>5</v>
      </c>
      <c r="K9" s="76">
        <v>0.8</v>
      </c>
      <c r="L9" s="29"/>
      <c r="M9" s="29"/>
      <c r="N9" s="29"/>
    </row>
    <row r="10" spans="1:14" x14ac:dyDescent="0.25">
      <c r="A10" s="29">
        <v>6</v>
      </c>
      <c r="B10" s="3" t="s">
        <v>209</v>
      </c>
      <c r="C10" s="29">
        <v>8</v>
      </c>
      <c r="D10" s="29">
        <v>8</v>
      </c>
      <c r="E10" s="29">
        <v>5</v>
      </c>
      <c r="F10" s="29">
        <v>10</v>
      </c>
      <c r="G10" s="29">
        <f t="shared" si="1"/>
        <v>31</v>
      </c>
      <c r="H10" s="29">
        <f t="shared" si="0"/>
        <v>7.75</v>
      </c>
      <c r="I10" s="29">
        <f t="shared" si="2"/>
        <v>10</v>
      </c>
      <c r="J10" s="29">
        <f t="shared" si="3"/>
        <v>5</v>
      </c>
      <c r="K10" s="76">
        <v>0.1</v>
      </c>
      <c r="L10" s="29"/>
      <c r="M10" s="29"/>
      <c r="N10" s="29"/>
    </row>
    <row r="11" spans="1:14" x14ac:dyDescent="0.25">
      <c r="A11" s="29">
        <v>7</v>
      </c>
      <c r="B11" s="3" t="s">
        <v>210</v>
      </c>
      <c r="C11" s="29">
        <v>1</v>
      </c>
      <c r="D11" s="29">
        <v>5</v>
      </c>
      <c r="E11" s="29">
        <v>5</v>
      </c>
      <c r="F11" s="29">
        <v>7</v>
      </c>
      <c r="G11" s="29">
        <f t="shared" si="1"/>
        <v>18</v>
      </c>
      <c r="H11" s="29">
        <f t="shared" si="0"/>
        <v>4.5</v>
      </c>
      <c r="I11" s="29">
        <f t="shared" si="2"/>
        <v>7</v>
      </c>
      <c r="J11" s="29">
        <f t="shared" si="3"/>
        <v>1</v>
      </c>
      <c r="K11" s="76">
        <v>0.15</v>
      </c>
      <c r="L11" s="29"/>
      <c r="M11" s="29"/>
      <c r="N11" s="29"/>
    </row>
    <row r="12" spans="1:14" x14ac:dyDescent="0.25">
      <c r="A12" s="29">
        <v>8</v>
      </c>
      <c r="B12" s="3" t="s">
        <v>211</v>
      </c>
      <c r="C12" s="29">
        <v>4</v>
      </c>
      <c r="D12" s="29">
        <v>5</v>
      </c>
      <c r="E12" s="29">
        <v>5</v>
      </c>
      <c r="F12" s="29">
        <v>8</v>
      </c>
      <c r="G12" s="29">
        <f t="shared" si="1"/>
        <v>22</v>
      </c>
      <c r="H12" s="29">
        <f t="shared" si="0"/>
        <v>5.5</v>
      </c>
      <c r="I12" s="29">
        <f t="shared" si="2"/>
        <v>8</v>
      </c>
      <c r="J12" s="29">
        <f t="shared" si="3"/>
        <v>4</v>
      </c>
      <c r="K12" s="76">
        <v>0.28000000000000003</v>
      </c>
      <c r="L12" s="29"/>
      <c r="M12" s="29"/>
      <c r="N12" s="29"/>
    </row>
    <row r="13" spans="1:14" x14ac:dyDescent="0.25">
      <c r="A13" s="29">
        <v>9</v>
      </c>
      <c r="B13" s="3" t="s">
        <v>212</v>
      </c>
      <c r="C13" s="29">
        <v>3</v>
      </c>
      <c r="D13" s="29">
        <v>5</v>
      </c>
      <c r="E13" s="29">
        <v>5</v>
      </c>
      <c r="F13" s="29">
        <v>4</v>
      </c>
      <c r="G13" s="29">
        <f t="shared" si="1"/>
        <v>17</v>
      </c>
      <c r="H13" s="29">
        <f t="shared" si="0"/>
        <v>4.25</v>
      </c>
      <c r="I13" s="29">
        <f t="shared" si="2"/>
        <v>5</v>
      </c>
      <c r="J13" s="29">
        <f t="shared" si="3"/>
        <v>3</v>
      </c>
      <c r="K13" s="76">
        <v>0.33</v>
      </c>
      <c r="L13" s="29"/>
      <c r="M13" s="29"/>
      <c r="N13" s="3"/>
    </row>
    <row r="14" spans="1:14" x14ac:dyDescent="0.25">
      <c r="A14" s="29">
        <v>10</v>
      </c>
      <c r="B14" s="3" t="s">
        <v>213</v>
      </c>
      <c r="C14" s="29">
        <v>7</v>
      </c>
      <c r="D14" s="29">
        <v>5</v>
      </c>
      <c r="E14" s="29">
        <v>5</v>
      </c>
      <c r="F14" s="29">
        <v>8</v>
      </c>
      <c r="G14" s="29">
        <f t="shared" si="1"/>
        <v>25</v>
      </c>
      <c r="H14" s="29">
        <f t="shared" si="0"/>
        <v>6.25</v>
      </c>
      <c r="I14" s="29">
        <f t="shared" si="2"/>
        <v>8</v>
      </c>
      <c r="J14" s="29">
        <f t="shared" si="3"/>
        <v>5</v>
      </c>
      <c r="K14" s="76">
        <v>0.28000000000000003</v>
      </c>
      <c r="L14" s="29"/>
      <c r="M14" s="29"/>
      <c r="N14" s="3"/>
    </row>
    <row r="15" spans="1:14" x14ac:dyDescent="0.25">
      <c r="A15" s="29">
        <v>11</v>
      </c>
      <c r="B15" s="3" t="s">
        <v>214</v>
      </c>
      <c r="C15" s="29">
        <v>8</v>
      </c>
      <c r="D15" s="29">
        <v>5</v>
      </c>
      <c r="E15" s="29">
        <v>5</v>
      </c>
      <c r="F15" s="29">
        <v>10</v>
      </c>
      <c r="G15" s="29">
        <f t="shared" si="1"/>
        <v>28</v>
      </c>
      <c r="H15" s="29">
        <f t="shared" si="0"/>
        <v>7</v>
      </c>
      <c r="I15" s="29">
        <f t="shared" si="2"/>
        <v>10</v>
      </c>
      <c r="J15" s="29">
        <f t="shared" si="3"/>
        <v>5</v>
      </c>
      <c r="K15" s="76">
        <v>0.25</v>
      </c>
      <c r="L15" s="29"/>
      <c r="M15" s="29"/>
      <c r="N15" s="3"/>
    </row>
    <row r="16" spans="1:14" x14ac:dyDescent="0.25">
      <c r="A16" s="29">
        <v>12</v>
      </c>
      <c r="B16" s="3" t="s">
        <v>215</v>
      </c>
      <c r="C16" s="29">
        <v>9</v>
      </c>
      <c r="D16" s="29">
        <v>5</v>
      </c>
      <c r="E16" s="29">
        <v>5</v>
      </c>
      <c r="F16" s="29">
        <v>9</v>
      </c>
      <c r="G16" s="29">
        <f t="shared" si="1"/>
        <v>28</v>
      </c>
      <c r="H16" s="29">
        <f t="shared" si="0"/>
        <v>7</v>
      </c>
      <c r="I16" s="29">
        <f t="shared" si="2"/>
        <v>9</v>
      </c>
      <c r="J16" s="29">
        <f t="shared" si="3"/>
        <v>5</v>
      </c>
      <c r="K16" s="76">
        <v>0.41</v>
      </c>
      <c r="L16" s="29"/>
      <c r="M16" s="29"/>
      <c r="N16" s="3"/>
    </row>
    <row r="17" spans="1:14" x14ac:dyDescent="0.25">
      <c r="A17" s="29">
        <v>13</v>
      </c>
      <c r="B17" s="3" t="s">
        <v>216</v>
      </c>
      <c r="C17" s="29">
        <v>6</v>
      </c>
      <c r="D17" s="29">
        <v>8</v>
      </c>
      <c r="E17" s="29">
        <v>5</v>
      </c>
      <c r="F17" s="29">
        <v>6</v>
      </c>
      <c r="G17" s="29">
        <f t="shared" si="1"/>
        <v>25</v>
      </c>
      <c r="H17" s="29">
        <f t="shared" si="0"/>
        <v>6.25</v>
      </c>
      <c r="I17" s="29">
        <f t="shared" si="2"/>
        <v>8</v>
      </c>
      <c r="J17" s="29">
        <f t="shared" si="3"/>
        <v>5</v>
      </c>
      <c r="K17" s="76">
        <v>0.12</v>
      </c>
      <c r="L17" s="29"/>
      <c r="M17" s="29"/>
      <c r="N17" s="3"/>
    </row>
    <row r="18" spans="1:14" x14ac:dyDescent="0.25">
      <c r="A18" s="29">
        <v>14</v>
      </c>
      <c r="B18" s="3" t="s">
        <v>217</v>
      </c>
      <c r="C18" s="29">
        <v>5</v>
      </c>
      <c r="D18" s="29">
        <v>8</v>
      </c>
      <c r="E18" s="29">
        <v>5</v>
      </c>
      <c r="F18" s="29">
        <v>5</v>
      </c>
      <c r="G18" s="29">
        <f t="shared" si="1"/>
        <v>23</v>
      </c>
      <c r="H18" s="29">
        <f t="shared" si="0"/>
        <v>5.75</v>
      </c>
      <c r="I18" s="29">
        <f t="shared" si="2"/>
        <v>8</v>
      </c>
      <c r="J18" s="29">
        <f t="shared" si="3"/>
        <v>5</v>
      </c>
      <c r="K18" s="76">
        <v>0.15</v>
      </c>
      <c r="L18" s="29"/>
      <c r="M18" s="29"/>
      <c r="N18" s="3"/>
    </row>
    <row r="19" spans="1:14" x14ac:dyDescent="0.25">
      <c r="A19" s="29">
        <v>15</v>
      </c>
      <c r="B19" s="3" t="s">
        <v>218</v>
      </c>
      <c r="C19" s="29">
        <v>9</v>
      </c>
      <c r="D19" s="29">
        <v>5</v>
      </c>
      <c r="E19" s="29">
        <v>5</v>
      </c>
      <c r="F19" s="29">
        <v>7</v>
      </c>
      <c r="G19" s="29">
        <f t="shared" si="1"/>
        <v>26</v>
      </c>
      <c r="H19" s="29">
        <f t="shared" si="0"/>
        <v>6.5</v>
      </c>
      <c r="I19" s="29">
        <f t="shared" si="2"/>
        <v>9</v>
      </c>
      <c r="J19" s="29">
        <f t="shared" si="3"/>
        <v>5</v>
      </c>
      <c r="K19" s="76">
        <v>0.7</v>
      </c>
      <c r="L19" s="29"/>
      <c r="M19" s="29"/>
      <c r="N19" s="3"/>
    </row>
    <row r="20" spans="1:14" x14ac:dyDescent="0.25">
      <c r="A20" s="29">
        <v>16</v>
      </c>
      <c r="B20" s="3" t="s">
        <v>219</v>
      </c>
      <c r="C20" s="29">
        <v>6</v>
      </c>
      <c r="D20" s="29">
        <v>8</v>
      </c>
      <c r="E20" s="29">
        <v>5</v>
      </c>
      <c r="F20" s="29">
        <v>6</v>
      </c>
      <c r="G20" s="29">
        <f t="shared" si="1"/>
        <v>25</v>
      </c>
      <c r="H20" s="29">
        <f t="shared" si="0"/>
        <v>6.25</v>
      </c>
      <c r="I20" s="29">
        <f t="shared" si="2"/>
        <v>8</v>
      </c>
      <c r="J20" s="29">
        <f t="shared" si="3"/>
        <v>5</v>
      </c>
      <c r="K20" s="76">
        <v>0.65</v>
      </c>
      <c r="L20" s="29"/>
      <c r="M20" s="29"/>
      <c r="N20" s="3"/>
    </row>
    <row r="21" spans="1:14" x14ac:dyDescent="0.25">
      <c r="A21" s="29">
        <v>17</v>
      </c>
      <c r="B21" s="3" t="s">
        <v>220</v>
      </c>
      <c r="C21" s="29">
        <v>6</v>
      </c>
      <c r="D21" s="29">
        <v>8</v>
      </c>
      <c r="E21" s="29">
        <v>5</v>
      </c>
      <c r="F21" s="29">
        <v>8</v>
      </c>
      <c r="G21" s="29">
        <f t="shared" si="1"/>
        <v>27</v>
      </c>
      <c r="H21" s="29">
        <f t="shared" si="0"/>
        <v>6.75</v>
      </c>
      <c r="I21" s="29">
        <f t="shared" si="2"/>
        <v>8</v>
      </c>
      <c r="J21" s="29">
        <f t="shared" si="3"/>
        <v>5</v>
      </c>
      <c r="K21" s="76">
        <v>0.7</v>
      </c>
      <c r="L21" s="29"/>
      <c r="M21" s="29"/>
      <c r="N21" s="3"/>
    </row>
    <row r="22" spans="1:14" x14ac:dyDescent="0.25">
      <c r="A22" s="29">
        <v>18</v>
      </c>
      <c r="B22" s="3" t="s">
        <v>221</v>
      </c>
      <c r="C22" s="29">
        <v>6</v>
      </c>
      <c r="D22" s="29">
        <v>5</v>
      </c>
      <c r="E22" s="29">
        <v>5</v>
      </c>
      <c r="F22" s="29">
        <v>9</v>
      </c>
      <c r="G22" s="29">
        <f t="shared" si="1"/>
        <v>25</v>
      </c>
      <c r="H22" s="29">
        <f t="shared" si="0"/>
        <v>6.25</v>
      </c>
      <c r="I22" s="29">
        <f t="shared" si="2"/>
        <v>9</v>
      </c>
      <c r="J22" s="29">
        <f t="shared" si="3"/>
        <v>5</v>
      </c>
      <c r="K22" s="76">
        <v>0.12</v>
      </c>
      <c r="L22" s="29"/>
      <c r="M22" s="29"/>
      <c r="N22" s="3"/>
    </row>
    <row r="23" spans="1:14" x14ac:dyDescent="0.25">
      <c r="A23" s="29">
        <v>19</v>
      </c>
      <c r="B23" s="3" t="s">
        <v>222</v>
      </c>
      <c r="C23" s="29">
        <v>9</v>
      </c>
      <c r="D23" s="29">
        <v>8</v>
      </c>
      <c r="E23" s="29">
        <v>5</v>
      </c>
      <c r="F23" s="29">
        <v>10</v>
      </c>
      <c r="G23" s="29">
        <f t="shared" si="1"/>
        <v>32</v>
      </c>
      <c r="H23" s="29">
        <f t="shared" si="0"/>
        <v>8</v>
      </c>
      <c r="I23" s="29">
        <f t="shared" si="2"/>
        <v>10</v>
      </c>
      <c r="J23" s="29">
        <f t="shared" si="3"/>
        <v>5</v>
      </c>
      <c r="K23" s="76">
        <v>0.1</v>
      </c>
      <c r="L23" s="29"/>
      <c r="M23" s="29"/>
      <c r="N23" s="3"/>
    </row>
    <row r="24" spans="1:14" x14ac:dyDescent="0.25">
      <c r="A24" s="29">
        <v>20</v>
      </c>
      <c r="B24" s="3" t="s">
        <v>223</v>
      </c>
      <c r="C24" s="29">
        <v>8</v>
      </c>
      <c r="D24" s="29">
        <v>8</v>
      </c>
      <c r="E24" s="29">
        <v>5</v>
      </c>
      <c r="F24" s="29">
        <v>7</v>
      </c>
      <c r="G24" s="29">
        <f t="shared" si="1"/>
        <v>28</v>
      </c>
      <c r="H24" s="29">
        <f t="shared" si="0"/>
        <v>7</v>
      </c>
      <c r="I24" s="29">
        <f t="shared" si="2"/>
        <v>8</v>
      </c>
      <c r="J24" s="29">
        <f t="shared" si="3"/>
        <v>5</v>
      </c>
      <c r="K24" s="76">
        <v>0.15</v>
      </c>
      <c r="L24" s="29"/>
      <c r="M24" s="29"/>
      <c r="N24" s="3"/>
    </row>
    <row r="25" spans="1:14" x14ac:dyDescent="0.25">
      <c r="A25" s="29">
        <v>21</v>
      </c>
      <c r="B25" s="3" t="s">
        <v>221</v>
      </c>
      <c r="C25" s="29">
        <v>6</v>
      </c>
      <c r="D25" s="29">
        <v>5</v>
      </c>
      <c r="E25" s="29">
        <v>5</v>
      </c>
      <c r="F25" s="29">
        <v>9</v>
      </c>
      <c r="G25" s="29">
        <f t="shared" si="1"/>
        <v>25</v>
      </c>
      <c r="H25" s="29">
        <f t="shared" si="0"/>
        <v>6.25</v>
      </c>
      <c r="I25" s="29">
        <f t="shared" si="2"/>
        <v>9</v>
      </c>
      <c r="J25" s="29">
        <f t="shared" si="3"/>
        <v>5</v>
      </c>
      <c r="K25" s="76">
        <v>0.15333333333333299</v>
      </c>
      <c r="L25" s="29"/>
      <c r="M25" s="29"/>
      <c r="N25" s="3"/>
    </row>
    <row r="26" spans="1:14" x14ac:dyDescent="0.25">
      <c r="A26" s="29">
        <v>22</v>
      </c>
      <c r="B26" s="3" t="s">
        <v>222</v>
      </c>
      <c r="C26" s="29">
        <v>9</v>
      </c>
      <c r="D26" s="29">
        <v>8</v>
      </c>
      <c r="E26" s="29">
        <v>5</v>
      </c>
      <c r="F26" s="29">
        <v>10</v>
      </c>
      <c r="G26" s="29">
        <f t="shared" si="1"/>
        <v>32</v>
      </c>
      <c r="H26" s="29">
        <f t="shared" si="0"/>
        <v>8</v>
      </c>
      <c r="I26" s="29">
        <f t="shared" si="2"/>
        <v>10</v>
      </c>
      <c r="J26" s="29">
        <f t="shared" si="3"/>
        <v>5</v>
      </c>
      <c r="K26" s="76">
        <v>0.168333333333333</v>
      </c>
      <c r="L26" s="29"/>
      <c r="M26" s="29"/>
      <c r="N26" s="3"/>
    </row>
    <row r="27" spans="1:14" x14ac:dyDescent="0.25">
      <c r="A27" s="29">
        <v>23</v>
      </c>
      <c r="B27" s="3" t="s">
        <v>223</v>
      </c>
      <c r="C27" s="29">
        <v>8</v>
      </c>
      <c r="D27" s="29">
        <v>8</v>
      </c>
      <c r="E27" s="29">
        <v>5</v>
      </c>
      <c r="F27" s="29">
        <v>7</v>
      </c>
      <c r="G27" s="29">
        <f t="shared" si="1"/>
        <v>28</v>
      </c>
      <c r="H27" s="29">
        <f t="shared" si="0"/>
        <v>7</v>
      </c>
      <c r="I27" s="29">
        <f t="shared" si="2"/>
        <v>8</v>
      </c>
      <c r="J27" s="29">
        <f t="shared" si="3"/>
        <v>5</v>
      </c>
      <c r="K27" s="76">
        <v>0.18333333333333299</v>
      </c>
      <c r="L27" s="29"/>
      <c r="M27" s="29"/>
      <c r="N27" s="3"/>
    </row>
    <row r="28" spans="1:14" x14ac:dyDescent="0.25">
      <c r="A28" s="29">
        <v>1</v>
      </c>
      <c r="B28" s="3" t="s">
        <v>204</v>
      </c>
      <c r="C28" s="29">
        <v>10</v>
      </c>
      <c r="D28" s="29">
        <v>10</v>
      </c>
      <c r="E28" s="29">
        <v>10</v>
      </c>
      <c r="F28" s="29">
        <v>8</v>
      </c>
      <c r="G28" s="29">
        <f t="shared" si="1"/>
        <v>38</v>
      </c>
      <c r="H28" s="29">
        <f t="shared" si="0"/>
        <v>9.5</v>
      </c>
      <c r="I28" s="29">
        <f t="shared" si="2"/>
        <v>10</v>
      </c>
      <c r="J28" s="29">
        <f t="shared" si="3"/>
        <v>8</v>
      </c>
      <c r="K28" s="76">
        <v>0.24</v>
      </c>
      <c r="L28" s="29"/>
      <c r="M28" s="29"/>
      <c r="N28" s="3"/>
    </row>
    <row r="29" spans="1:14" x14ac:dyDescent="0.25">
      <c r="A29" s="29">
        <v>2</v>
      </c>
      <c r="B29" s="3" t="s">
        <v>205</v>
      </c>
      <c r="C29" s="29">
        <v>10</v>
      </c>
      <c r="D29" s="29">
        <v>8</v>
      </c>
      <c r="E29" s="29">
        <v>5</v>
      </c>
      <c r="F29" s="29">
        <v>10</v>
      </c>
      <c r="G29" s="29">
        <f t="shared" si="1"/>
        <v>33</v>
      </c>
      <c r="H29" s="29">
        <f t="shared" si="0"/>
        <v>8.25</v>
      </c>
      <c r="I29" s="29">
        <f t="shared" si="2"/>
        <v>10</v>
      </c>
      <c r="J29" s="29">
        <f t="shared" si="3"/>
        <v>5</v>
      </c>
      <c r="K29" s="76">
        <v>0.3</v>
      </c>
      <c r="L29" s="29"/>
      <c r="M29" s="29"/>
      <c r="N29" s="3"/>
    </row>
    <row r="30" spans="1:14" x14ac:dyDescent="0.25">
      <c r="A30" s="29">
        <v>3</v>
      </c>
      <c r="B30" s="3" t="s">
        <v>206</v>
      </c>
      <c r="C30" s="29">
        <v>7</v>
      </c>
      <c r="D30" s="29">
        <v>8</v>
      </c>
      <c r="E30" s="29">
        <v>5</v>
      </c>
      <c r="F30" s="29">
        <v>4</v>
      </c>
      <c r="G30" s="29">
        <f t="shared" si="1"/>
        <v>24</v>
      </c>
      <c r="H30" s="29">
        <f t="shared" si="0"/>
        <v>6</v>
      </c>
      <c r="I30" s="29">
        <f t="shared" si="2"/>
        <v>8</v>
      </c>
      <c r="J30" s="29">
        <f t="shared" si="3"/>
        <v>4</v>
      </c>
      <c r="K30" s="76">
        <v>0.75</v>
      </c>
      <c r="L30" s="29"/>
      <c r="M30" s="29"/>
      <c r="N30" s="3"/>
    </row>
    <row r="31" spans="1:14" x14ac:dyDescent="0.25">
      <c r="A31" s="29">
        <v>4</v>
      </c>
      <c r="B31" s="3" t="s">
        <v>207</v>
      </c>
      <c r="C31" s="29">
        <v>5</v>
      </c>
      <c r="D31" s="29">
        <v>8</v>
      </c>
      <c r="E31" s="29">
        <v>5</v>
      </c>
      <c r="F31" s="29">
        <v>4</v>
      </c>
      <c r="G31" s="29">
        <f t="shared" si="1"/>
        <v>22</v>
      </c>
      <c r="H31" s="29">
        <f t="shared" si="0"/>
        <v>5.5</v>
      </c>
      <c r="I31" s="29">
        <f t="shared" si="2"/>
        <v>8</v>
      </c>
      <c r="J31" s="29">
        <f t="shared" si="3"/>
        <v>4</v>
      </c>
      <c r="K31" s="76">
        <v>0.65</v>
      </c>
      <c r="L31" s="29"/>
      <c r="M31" s="29"/>
      <c r="N31" s="29"/>
    </row>
    <row r="32" spans="1:14" x14ac:dyDescent="0.25">
      <c r="A32" s="29">
        <v>5</v>
      </c>
      <c r="B32" s="3" t="s">
        <v>208</v>
      </c>
      <c r="C32" s="29">
        <v>7</v>
      </c>
      <c r="D32" s="29">
        <v>8</v>
      </c>
      <c r="E32" s="29">
        <v>5</v>
      </c>
      <c r="F32" s="29">
        <v>9</v>
      </c>
      <c r="G32" s="29">
        <f t="shared" si="1"/>
        <v>29</v>
      </c>
      <c r="H32" s="29">
        <f t="shared" si="0"/>
        <v>7.25</v>
      </c>
      <c r="I32" s="29">
        <f t="shared" si="2"/>
        <v>9</v>
      </c>
      <c r="J32" s="29">
        <f t="shared" si="3"/>
        <v>5</v>
      </c>
      <c r="K32" s="76">
        <v>0.8</v>
      </c>
      <c r="L32" s="29"/>
      <c r="M32" s="29"/>
      <c r="N32" s="29"/>
    </row>
    <row r="33" spans="1:14" x14ac:dyDescent="0.25">
      <c r="A33" s="29">
        <v>6</v>
      </c>
      <c r="B33" s="3" t="s">
        <v>209</v>
      </c>
      <c r="C33" s="29">
        <v>8</v>
      </c>
      <c r="D33" s="29">
        <v>8</v>
      </c>
      <c r="E33" s="29">
        <v>5</v>
      </c>
      <c r="F33" s="29">
        <v>10</v>
      </c>
      <c r="G33" s="29">
        <f t="shared" si="1"/>
        <v>31</v>
      </c>
      <c r="H33" s="29">
        <f t="shared" si="0"/>
        <v>7.75</v>
      </c>
      <c r="I33" s="29">
        <f t="shared" si="2"/>
        <v>10</v>
      </c>
      <c r="J33" s="29">
        <f t="shared" si="3"/>
        <v>5</v>
      </c>
      <c r="K33" s="76">
        <v>0.1</v>
      </c>
      <c r="L33" s="29"/>
      <c r="M33" s="29"/>
      <c r="N33" s="29"/>
    </row>
    <row r="34" spans="1:14" x14ac:dyDescent="0.25">
      <c r="A34" s="29">
        <v>7</v>
      </c>
      <c r="B34" s="3" t="s">
        <v>210</v>
      </c>
      <c r="C34" s="29">
        <v>1</v>
      </c>
      <c r="D34" s="29">
        <v>5</v>
      </c>
      <c r="E34" s="29">
        <v>5</v>
      </c>
      <c r="F34" s="29">
        <v>7</v>
      </c>
      <c r="G34" s="29">
        <f t="shared" si="1"/>
        <v>18</v>
      </c>
      <c r="H34" s="29">
        <f t="shared" si="0"/>
        <v>4.5</v>
      </c>
      <c r="I34" s="29">
        <f t="shared" si="2"/>
        <v>7</v>
      </c>
      <c r="J34" s="29">
        <f t="shared" si="3"/>
        <v>1</v>
      </c>
      <c r="K34" s="76">
        <v>0.15</v>
      </c>
      <c r="L34" s="29"/>
      <c r="M34" s="29"/>
      <c r="N34" s="29"/>
    </row>
    <row r="35" spans="1:14" x14ac:dyDescent="0.25">
      <c r="A35" s="29">
        <v>8</v>
      </c>
      <c r="B35" s="3" t="s">
        <v>211</v>
      </c>
      <c r="C35" s="29">
        <v>4</v>
      </c>
      <c r="D35" s="29">
        <v>5</v>
      </c>
      <c r="E35" s="29">
        <v>5</v>
      </c>
      <c r="F35" s="29">
        <v>8</v>
      </c>
      <c r="G35" s="29">
        <f t="shared" si="1"/>
        <v>22</v>
      </c>
      <c r="H35" s="29">
        <f t="shared" si="0"/>
        <v>5.5</v>
      </c>
      <c r="I35" s="29">
        <f t="shared" si="2"/>
        <v>8</v>
      </c>
      <c r="J35" s="29">
        <f t="shared" si="3"/>
        <v>4</v>
      </c>
      <c r="K35" s="76">
        <v>0.28000000000000003</v>
      </c>
      <c r="L35" s="29"/>
      <c r="M35" s="29"/>
      <c r="N35" s="29"/>
    </row>
    <row r="36" spans="1:14" x14ac:dyDescent="0.25">
      <c r="A36" s="29">
        <v>9</v>
      </c>
      <c r="B36" s="3" t="s">
        <v>212</v>
      </c>
      <c r="C36" s="29">
        <v>3</v>
      </c>
      <c r="D36" s="29">
        <v>5</v>
      </c>
      <c r="E36" s="29">
        <v>5</v>
      </c>
      <c r="F36" s="29">
        <v>4</v>
      </c>
      <c r="G36" s="29">
        <f t="shared" si="1"/>
        <v>17</v>
      </c>
      <c r="H36" s="29">
        <f t="shared" si="0"/>
        <v>4.25</v>
      </c>
      <c r="I36" s="29">
        <f t="shared" si="2"/>
        <v>5</v>
      </c>
      <c r="J36" s="29">
        <f t="shared" si="3"/>
        <v>3</v>
      </c>
      <c r="K36" s="76">
        <v>0.33</v>
      </c>
      <c r="L36" s="29"/>
      <c r="M36" s="29"/>
      <c r="N36" s="3"/>
    </row>
    <row r="37" spans="1:14" x14ac:dyDescent="0.25">
      <c r="A37" s="29">
        <v>10</v>
      </c>
      <c r="B37" s="3" t="s">
        <v>213</v>
      </c>
      <c r="C37" s="29">
        <v>7</v>
      </c>
      <c r="D37" s="29">
        <v>5</v>
      </c>
      <c r="E37" s="29">
        <v>5</v>
      </c>
      <c r="F37" s="29">
        <v>8</v>
      </c>
      <c r="G37" s="29">
        <f t="shared" si="1"/>
        <v>25</v>
      </c>
      <c r="H37" s="29">
        <f t="shared" si="0"/>
        <v>6.25</v>
      </c>
      <c r="I37" s="29">
        <f t="shared" si="2"/>
        <v>8</v>
      </c>
      <c r="J37" s="29">
        <f t="shared" si="3"/>
        <v>5</v>
      </c>
      <c r="K37" s="76">
        <v>0.28000000000000003</v>
      </c>
      <c r="L37" s="29"/>
      <c r="M37" s="29"/>
      <c r="N37" s="3"/>
    </row>
    <row r="38" spans="1:14" x14ac:dyDescent="0.25">
      <c r="A38" s="29">
        <v>11</v>
      </c>
      <c r="B38" s="3" t="s">
        <v>214</v>
      </c>
      <c r="C38" s="29">
        <v>8</v>
      </c>
      <c r="D38" s="29">
        <v>5</v>
      </c>
      <c r="E38" s="29">
        <v>5</v>
      </c>
      <c r="F38" s="29">
        <v>10</v>
      </c>
      <c r="G38" s="29">
        <f t="shared" si="1"/>
        <v>28</v>
      </c>
      <c r="H38" s="29">
        <f t="shared" si="0"/>
        <v>7</v>
      </c>
      <c r="I38" s="29">
        <f t="shared" si="2"/>
        <v>10</v>
      </c>
      <c r="J38" s="29">
        <f t="shared" si="3"/>
        <v>5</v>
      </c>
      <c r="K38" s="76">
        <v>0.25</v>
      </c>
      <c r="L38" s="29"/>
      <c r="M38" s="29"/>
      <c r="N38" s="3"/>
    </row>
    <row r="39" spans="1:14" x14ac:dyDescent="0.25">
      <c r="A39" s="29">
        <v>12</v>
      </c>
      <c r="B39" s="3" t="s">
        <v>215</v>
      </c>
      <c r="C39" s="29">
        <v>9</v>
      </c>
      <c r="D39" s="29">
        <v>5</v>
      </c>
      <c r="E39" s="29">
        <v>5</v>
      </c>
      <c r="F39" s="29">
        <v>9</v>
      </c>
      <c r="G39" s="29">
        <f t="shared" si="1"/>
        <v>28</v>
      </c>
      <c r="H39" s="29">
        <f t="shared" si="0"/>
        <v>7</v>
      </c>
      <c r="I39" s="29">
        <f t="shared" si="2"/>
        <v>9</v>
      </c>
      <c r="J39" s="29">
        <f t="shared" si="3"/>
        <v>5</v>
      </c>
      <c r="K39" s="76">
        <v>0.41</v>
      </c>
      <c r="L39" s="29"/>
      <c r="M39" s="29"/>
      <c r="N39" s="3"/>
    </row>
    <row r="40" spans="1:14" x14ac:dyDescent="0.25">
      <c r="A40" s="29">
        <v>13</v>
      </c>
      <c r="B40" s="3" t="s">
        <v>216</v>
      </c>
      <c r="C40" s="29">
        <v>6</v>
      </c>
      <c r="D40" s="29">
        <v>8</v>
      </c>
      <c r="E40" s="29">
        <v>5</v>
      </c>
      <c r="F40" s="29">
        <v>6</v>
      </c>
      <c r="G40" s="29">
        <f t="shared" si="1"/>
        <v>25</v>
      </c>
      <c r="H40" s="29">
        <f t="shared" si="0"/>
        <v>6.25</v>
      </c>
      <c r="I40" s="29">
        <f t="shared" si="2"/>
        <v>8</v>
      </c>
      <c r="J40" s="29">
        <f t="shared" si="3"/>
        <v>5</v>
      </c>
      <c r="K40" s="76">
        <v>0.12</v>
      </c>
      <c r="L40" s="29"/>
      <c r="M40" s="29"/>
      <c r="N40" s="3"/>
    </row>
    <row r="41" spans="1:14" x14ac:dyDescent="0.25">
      <c r="A41" s="29">
        <v>14</v>
      </c>
      <c r="B41" s="3" t="s">
        <v>217</v>
      </c>
      <c r="C41" s="29">
        <v>5</v>
      </c>
      <c r="D41" s="29">
        <v>8</v>
      </c>
      <c r="E41" s="29">
        <v>5</v>
      </c>
      <c r="F41" s="29">
        <v>5</v>
      </c>
      <c r="G41" s="29">
        <f t="shared" si="1"/>
        <v>23</v>
      </c>
      <c r="H41" s="29">
        <f t="shared" si="0"/>
        <v>5.75</v>
      </c>
      <c r="I41" s="29">
        <f t="shared" si="2"/>
        <v>8</v>
      </c>
      <c r="J41" s="29">
        <f t="shared" si="3"/>
        <v>5</v>
      </c>
      <c r="K41" s="76">
        <v>0.15</v>
      </c>
      <c r="L41" s="29"/>
      <c r="M41" s="29"/>
      <c r="N41" s="3"/>
    </row>
    <row r="42" spans="1:14" x14ac:dyDescent="0.25">
      <c r="A42" s="29">
        <v>15</v>
      </c>
      <c r="B42" s="3" t="s">
        <v>218</v>
      </c>
      <c r="C42" s="29">
        <v>9</v>
      </c>
      <c r="D42" s="29">
        <v>5</v>
      </c>
      <c r="E42" s="29">
        <v>5</v>
      </c>
      <c r="F42" s="29">
        <v>7</v>
      </c>
      <c r="G42" s="29">
        <f t="shared" si="1"/>
        <v>26</v>
      </c>
      <c r="H42" s="29">
        <f t="shared" si="0"/>
        <v>6.5</v>
      </c>
      <c r="I42" s="29">
        <f t="shared" si="2"/>
        <v>9</v>
      </c>
      <c r="J42" s="29">
        <f t="shared" si="3"/>
        <v>5</v>
      </c>
      <c r="K42" s="76">
        <v>0.7</v>
      </c>
      <c r="L42" s="29"/>
      <c r="M42" s="29"/>
      <c r="N42" s="3"/>
    </row>
    <row r="43" spans="1:14" x14ac:dyDescent="0.25">
      <c r="A43" s="29">
        <v>16</v>
      </c>
      <c r="B43" s="3" t="s">
        <v>219</v>
      </c>
      <c r="C43" s="29">
        <v>6</v>
      </c>
      <c r="D43" s="29">
        <v>8</v>
      </c>
      <c r="E43" s="29">
        <v>5</v>
      </c>
      <c r="F43" s="29">
        <v>6</v>
      </c>
      <c r="G43" s="29">
        <f t="shared" si="1"/>
        <v>25</v>
      </c>
      <c r="H43" s="29">
        <f t="shared" si="0"/>
        <v>6.25</v>
      </c>
      <c r="I43" s="29">
        <f t="shared" si="2"/>
        <v>8</v>
      </c>
      <c r="J43" s="29">
        <f t="shared" si="3"/>
        <v>5</v>
      </c>
      <c r="K43" s="76">
        <v>0.65</v>
      </c>
      <c r="L43" s="29"/>
      <c r="M43" s="29"/>
      <c r="N43" s="3"/>
    </row>
    <row r="44" spans="1:14" x14ac:dyDescent="0.25">
      <c r="A44" s="29">
        <v>17</v>
      </c>
      <c r="B44" s="3" t="s">
        <v>220</v>
      </c>
      <c r="C44" s="29">
        <v>6</v>
      </c>
      <c r="D44" s="29">
        <v>8</v>
      </c>
      <c r="E44" s="29">
        <v>5</v>
      </c>
      <c r="F44" s="29">
        <v>8</v>
      </c>
      <c r="G44" s="29">
        <f t="shared" si="1"/>
        <v>27</v>
      </c>
      <c r="H44" s="29">
        <f t="shared" si="0"/>
        <v>6.75</v>
      </c>
      <c r="I44" s="29">
        <f t="shared" si="2"/>
        <v>8</v>
      </c>
      <c r="J44" s="29">
        <f t="shared" si="3"/>
        <v>5</v>
      </c>
      <c r="K44" s="76">
        <v>0.7</v>
      </c>
      <c r="L44" s="29"/>
      <c r="M44" s="29"/>
      <c r="N44" s="3"/>
    </row>
    <row r="45" spans="1:14" x14ac:dyDescent="0.25">
      <c r="A45" s="29">
        <v>18</v>
      </c>
      <c r="B45" s="3" t="s">
        <v>221</v>
      </c>
      <c r="C45" s="29">
        <v>6</v>
      </c>
      <c r="D45" s="29">
        <v>5</v>
      </c>
      <c r="E45" s="29">
        <v>5</v>
      </c>
      <c r="F45" s="29">
        <v>9</v>
      </c>
      <c r="G45" s="29">
        <f t="shared" si="1"/>
        <v>25</v>
      </c>
      <c r="H45" s="29">
        <f t="shared" si="0"/>
        <v>6.25</v>
      </c>
      <c r="I45" s="29">
        <f t="shared" si="2"/>
        <v>9</v>
      </c>
      <c r="J45" s="29">
        <f t="shared" si="3"/>
        <v>5</v>
      </c>
      <c r="K45" s="76">
        <v>0.12</v>
      </c>
      <c r="L45" s="29"/>
      <c r="M45" s="29"/>
      <c r="N45" s="3"/>
    </row>
    <row r="46" spans="1:14" x14ac:dyDescent="0.25">
      <c r="A46" s="29">
        <v>19</v>
      </c>
      <c r="B46" s="3" t="s">
        <v>222</v>
      </c>
      <c r="C46" s="29">
        <v>9</v>
      </c>
      <c r="D46" s="29">
        <v>8</v>
      </c>
      <c r="E46" s="29">
        <v>5</v>
      </c>
      <c r="F46" s="29">
        <v>10</v>
      </c>
      <c r="G46" s="29">
        <f t="shared" si="1"/>
        <v>32</v>
      </c>
      <c r="H46" s="29">
        <f t="shared" si="0"/>
        <v>8</v>
      </c>
      <c r="I46" s="29">
        <f t="shared" si="2"/>
        <v>10</v>
      </c>
      <c r="J46" s="29">
        <f t="shared" si="3"/>
        <v>5</v>
      </c>
      <c r="K46" s="76">
        <v>0.1</v>
      </c>
      <c r="L46" s="29"/>
      <c r="M46" s="29"/>
      <c r="N46" s="3"/>
    </row>
    <row r="47" spans="1:14" x14ac:dyDescent="0.25">
      <c r="A47" s="29">
        <v>20</v>
      </c>
      <c r="B47" s="3" t="s">
        <v>223</v>
      </c>
      <c r="C47" s="29">
        <v>8</v>
      </c>
      <c r="D47" s="29">
        <v>8</v>
      </c>
      <c r="E47" s="29">
        <v>5</v>
      </c>
      <c r="F47" s="29">
        <v>7</v>
      </c>
      <c r="G47" s="29">
        <f t="shared" si="1"/>
        <v>28</v>
      </c>
      <c r="H47" s="29">
        <f t="shared" si="0"/>
        <v>7</v>
      </c>
      <c r="I47" s="29">
        <f t="shared" si="2"/>
        <v>8</v>
      </c>
      <c r="J47" s="29">
        <f t="shared" si="3"/>
        <v>5</v>
      </c>
      <c r="K47" s="76">
        <v>0.15</v>
      </c>
      <c r="L47" s="29"/>
      <c r="M47" s="29"/>
      <c r="N47" s="3"/>
    </row>
    <row r="48" spans="1:14" x14ac:dyDescent="0.25">
      <c r="A48" s="29">
        <v>21</v>
      </c>
      <c r="B48" s="3" t="s">
        <v>221</v>
      </c>
      <c r="C48" s="29">
        <v>6</v>
      </c>
      <c r="D48" s="29">
        <v>5</v>
      </c>
      <c r="E48" s="29">
        <v>5</v>
      </c>
      <c r="F48" s="29">
        <v>9</v>
      </c>
      <c r="G48" s="29">
        <f t="shared" si="1"/>
        <v>25</v>
      </c>
      <c r="H48" s="29">
        <f t="shared" si="0"/>
        <v>6.25</v>
      </c>
      <c r="I48" s="29">
        <f t="shared" si="2"/>
        <v>9</v>
      </c>
      <c r="J48" s="29">
        <f t="shared" si="3"/>
        <v>5</v>
      </c>
      <c r="K48" s="76">
        <v>0.15333333333333299</v>
      </c>
      <c r="L48" s="29"/>
      <c r="M48" s="29"/>
      <c r="N48" s="3"/>
    </row>
    <row r="49" spans="1:14" x14ac:dyDescent="0.25">
      <c r="A49" s="29">
        <v>22</v>
      </c>
      <c r="B49" s="3" t="s">
        <v>222</v>
      </c>
      <c r="C49" s="29">
        <v>9</v>
      </c>
      <c r="D49" s="29">
        <v>8</v>
      </c>
      <c r="E49" s="29">
        <v>5</v>
      </c>
      <c r="F49" s="29">
        <v>10</v>
      </c>
      <c r="G49" s="29">
        <f t="shared" si="1"/>
        <v>32</v>
      </c>
      <c r="H49" s="29">
        <f t="shared" si="0"/>
        <v>8</v>
      </c>
      <c r="I49" s="29">
        <f t="shared" si="2"/>
        <v>10</v>
      </c>
      <c r="J49" s="29">
        <f t="shared" si="3"/>
        <v>5</v>
      </c>
      <c r="K49" s="76">
        <v>0.168333333333333</v>
      </c>
      <c r="L49" s="29"/>
      <c r="M49" s="29"/>
      <c r="N49" s="3"/>
    </row>
    <row r="50" spans="1:14" x14ac:dyDescent="0.25">
      <c r="A50" s="29">
        <v>23</v>
      </c>
      <c r="B50" s="3" t="s">
        <v>223</v>
      </c>
      <c r="C50" s="29">
        <v>8</v>
      </c>
      <c r="D50" s="29">
        <v>8</v>
      </c>
      <c r="E50" s="29">
        <v>5</v>
      </c>
      <c r="F50" s="29">
        <v>7</v>
      </c>
      <c r="G50" s="29">
        <f t="shared" si="1"/>
        <v>28</v>
      </c>
      <c r="H50" s="29">
        <f t="shared" si="0"/>
        <v>7</v>
      </c>
      <c r="I50" s="29">
        <f t="shared" si="2"/>
        <v>8</v>
      </c>
      <c r="J50" s="29">
        <f t="shared" si="3"/>
        <v>5</v>
      </c>
      <c r="K50" s="76">
        <v>0.18333333333333299</v>
      </c>
      <c r="L50" s="29"/>
      <c r="M50" s="29"/>
      <c r="N50" s="3"/>
    </row>
    <row r="51" spans="1:14" x14ac:dyDescent="0.25">
      <c r="A51" s="29">
        <v>16</v>
      </c>
      <c r="B51" s="3" t="s">
        <v>219</v>
      </c>
      <c r="C51" s="29">
        <v>6</v>
      </c>
      <c r="D51" s="29">
        <v>8</v>
      </c>
      <c r="E51" s="29">
        <v>5</v>
      </c>
      <c r="F51" s="29">
        <v>6</v>
      </c>
      <c r="G51" s="29">
        <f t="shared" si="1"/>
        <v>25</v>
      </c>
      <c r="H51" s="29">
        <f t="shared" si="0"/>
        <v>6.25</v>
      </c>
      <c r="I51" s="29">
        <f t="shared" si="2"/>
        <v>8</v>
      </c>
      <c r="J51" s="29">
        <f t="shared" si="3"/>
        <v>5</v>
      </c>
      <c r="K51" s="76">
        <v>0.65</v>
      </c>
      <c r="L51" s="29"/>
      <c r="M51" s="29"/>
      <c r="N51" s="3"/>
    </row>
    <row r="52" spans="1:14" x14ac:dyDescent="0.25">
      <c r="A52" s="29">
        <v>17</v>
      </c>
      <c r="B52" s="3" t="s">
        <v>220</v>
      </c>
      <c r="C52" s="29">
        <v>6</v>
      </c>
      <c r="D52" s="29">
        <v>8</v>
      </c>
      <c r="E52" s="29">
        <v>5</v>
      </c>
      <c r="F52" s="29">
        <v>8</v>
      </c>
      <c r="G52" s="29">
        <f t="shared" si="1"/>
        <v>27</v>
      </c>
      <c r="H52" s="29">
        <f t="shared" si="0"/>
        <v>6.75</v>
      </c>
      <c r="I52" s="29">
        <f t="shared" si="2"/>
        <v>8</v>
      </c>
      <c r="J52" s="29">
        <f t="shared" si="3"/>
        <v>5</v>
      </c>
      <c r="K52" s="76">
        <v>0.7</v>
      </c>
      <c r="L52" s="29"/>
      <c r="M52" s="29"/>
      <c r="N52" s="3"/>
    </row>
    <row r="53" spans="1:14" x14ac:dyDescent="0.25">
      <c r="A53" s="29">
        <v>18</v>
      </c>
      <c r="B53" s="3" t="s">
        <v>221</v>
      </c>
      <c r="C53" s="29">
        <v>6</v>
      </c>
      <c r="D53" s="29">
        <v>5</v>
      </c>
      <c r="E53" s="29">
        <v>5</v>
      </c>
      <c r="F53" s="29">
        <v>9</v>
      </c>
      <c r="G53" s="29">
        <f t="shared" si="1"/>
        <v>25</v>
      </c>
      <c r="H53" s="29">
        <f t="shared" si="0"/>
        <v>6.25</v>
      </c>
      <c r="I53" s="29">
        <f t="shared" si="2"/>
        <v>9</v>
      </c>
      <c r="J53" s="29">
        <f t="shared" si="3"/>
        <v>5</v>
      </c>
      <c r="K53" s="76">
        <v>0.12</v>
      </c>
      <c r="L53" s="29"/>
      <c r="M53" s="29"/>
      <c r="N53" s="3"/>
    </row>
    <row r="54" spans="1:14" x14ac:dyDescent="0.25">
      <c r="A54" s="29">
        <v>19</v>
      </c>
      <c r="B54" s="3" t="s">
        <v>222</v>
      </c>
      <c r="C54" s="29">
        <v>9</v>
      </c>
      <c r="D54" s="29">
        <v>8</v>
      </c>
      <c r="E54" s="29">
        <v>5</v>
      </c>
      <c r="F54" s="29">
        <v>10</v>
      </c>
      <c r="G54" s="29">
        <f t="shared" si="1"/>
        <v>32</v>
      </c>
      <c r="H54" s="29">
        <f t="shared" si="0"/>
        <v>8</v>
      </c>
      <c r="I54" s="29">
        <f t="shared" si="2"/>
        <v>10</v>
      </c>
      <c r="J54" s="29">
        <f t="shared" si="3"/>
        <v>5</v>
      </c>
      <c r="K54" s="76">
        <v>0.1</v>
      </c>
      <c r="L54" s="29"/>
      <c r="M54" s="29"/>
      <c r="N54" s="3"/>
    </row>
    <row r="55" spans="1:14" x14ac:dyDescent="0.25">
      <c r="A55" s="29">
        <v>20</v>
      </c>
      <c r="B55" s="3" t="s">
        <v>223</v>
      </c>
      <c r="C55" s="29">
        <v>8</v>
      </c>
      <c r="D55" s="29">
        <v>8</v>
      </c>
      <c r="E55" s="29">
        <v>5</v>
      </c>
      <c r="F55" s="29">
        <v>7</v>
      </c>
      <c r="G55" s="29">
        <f t="shared" si="1"/>
        <v>28</v>
      </c>
      <c r="H55" s="29">
        <f t="shared" si="0"/>
        <v>7</v>
      </c>
      <c r="I55" s="29">
        <f t="shared" si="2"/>
        <v>8</v>
      </c>
      <c r="J55" s="29">
        <f t="shared" si="3"/>
        <v>5</v>
      </c>
      <c r="K55" s="76">
        <v>0.15</v>
      </c>
      <c r="L55" s="29"/>
      <c r="M55" s="29"/>
      <c r="N55" s="3"/>
    </row>
    <row r="56" spans="1:14" x14ac:dyDescent="0.25">
      <c r="A56" s="29">
        <v>21</v>
      </c>
      <c r="B56" s="3" t="s">
        <v>221</v>
      </c>
      <c r="C56" s="29">
        <v>6</v>
      </c>
      <c r="D56" s="29">
        <v>5</v>
      </c>
      <c r="E56" s="29">
        <v>5</v>
      </c>
      <c r="F56" s="29">
        <v>9</v>
      </c>
      <c r="G56" s="29">
        <f t="shared" si="1"/>
        <v>25</v>
      </c>
      <c r="H56" s="29">
        <f t="shared" si="0"/>
        <v>6.25</v>
      </c>
      <c r="I56" s="29">
        <f t="shared" si="2"/>
        <v>9</v>
      </c>
      <c r="J56" s="29">
        <f t="shared" si="3"/>
        <v>5</v>
      </c>
      <c r="K56" s="76">
        <v>0.15333333333333299</v>
      </c>
      <c r="L56" s="29"/>
      <c r="M56" s="29"/>
      <c r="N56" s="3"/>
    </row>
    <row r="57" spans="1:14" x14ac:dyDescent="0.25">
      <c r="A57" s="29">
        <v>22</v>
      </c>
      <c r="B57" s="3" t="s">
        <v>222</v>
      </c>
      <c r="C57" s="29">
        <v>9</v>
      </c>
      <c r="D57" s="29">
        <v>8</v>
      </c>
      <c r="E57" s="29">
        <v>5</v>
      </c>
      <c r="F57" s="29">
        <v>10</v>
      </c>
      <c r="G57" s="29">
        <f t="shared" si="1"/>
        <v>32</v>
      </c>
      <c r="H57" s="29">
        <f t="shared" si="0"/>
        <v>8</v>
      </c>
      <c r="I57" s="29">
        <f t="shared" si="2"/>
        <v>10</v>
      </c>
      <c r="J57" s="29">
        <f t="shared" si="3"/>
        <v>5</v>
      </c>
      <c r="K57" s="76">
        <v>0.168333333333333</v>
      </c>
      <c r="L57" s="29"/>
      <c r="M57" s="29"/>
      <c r="N57" s="3"/>
    </row>
    <row r="58" spans="1:14" x14ac:dyDescent="0.25">
      <c r="A58" s="29">
        <v>23</v>
      </c>
      <c r="B58" s="3" t="s">
        <v>223</v>
      </c>
      <c r="C58" s="29">
        <v>8</v>
      </c>
      <c r="D58" s="29">
        <v>8</v>
      </c>
      <c r="E58" s="29">
        <v>5</v>
      </c>
      <c r="F58" s="29">
        <v>7</v>
      </c>
      <c r="G58" s="29">
        <f t="shared" si="1"/>
        <v>28</v>
      </c>
      <c r="H58" s="29">
        <f t="shared" si="0"/>
        <v>7</v>
      </c>
      <c r="I58" s="29">
        <f t="shared" si="2"/>
        <v>8</v>
      </c>
      <c r="J58" s="29">
        <f t="shared" si="3"/>
        <v>5</v>
      </c>
      <c r="K58" s="76">
        <v>0.18333333333333299</v>
      </c>
      <c r="L58" s="29"/>
      <c r="M58" s="29"/>
      <c r="N58" s="3"/>
    </row>
    <row r="59" spans="1:14" x14ac:dyDescent="0.25">
      <c r="A59" s="29">
        <v>1</v>
      </c>
      <c r="B59" s="3" t="s">
        <v>204</v>
      </c>
      <c r="C59" s="29">
        <v>10</v>
      </c>
      <c r="D59" s="29">
        <v>10</v>
      </c>
      <c r="E59" s="29">
        <v>10</v>
      </c>
      <c r="F59" s="29">
        <v>8</v>
      </c>
      <c r="G59" s="29">
        <f t="shared" si="1"/>
        <v>38</v>
      </c>
      <c r="H59" s="29">
        <f t="shared" si="0"/>
        <v>9.5</v>
      </c>
      <c r="I59" s="29">
        <f t="shared" si="2"/>
        <v>10</v>
      </c>
      <c r="J59" s="29">
        <f t="shared" si="3"/>
        <v>8</v>
      </c>
      <c r="K59" s="76">
        <v>0.24</v>
      </c>
      <c r="L59" s="29"/>
      <c r="M59" s="29"/>
      <c r="N59" s="3"/>
    </row>
    <row r="60" spans="1:14" x14ac:dyDescent="0.25">
      <c r="A60" s="29">
        <v>2</v>
      </c>
      <c r="B60" s="3" t="s">
        <v>205</v>
      </c>
      <c r="C60" s="29">
        <v>10</v>
      </c>
      <c r="D60" s="29">
        <v>8</v>
      </c>
      <c r="E60" s="29">
        <v>5</v>
      </c>
      <c r="F60" s="29">
        <v>10</v>
      </c>
      <c r="G60" s="29">
        <f t="shared" si="1"/>
        <v>33</v>
      </c>
      <c r="H60" s="29">
        <f t="shared" si="0"/>
        <v>8.25</v>
      </c>
      <c r="I60" s="29">
        <f t="shared" si="2"/>
        <v>10</v>
      </c>
      <c r="J60" s="29">
        <f t="shared" si="3"/>
        <v>5</v>
      </c>
      <c r="K60" s="76">
        <v>0.3</v>
      </c>
      <c r="L60" s="29"/>
      <c r="M60" s="29"/>
      <c r="N60" s="3"/>
    </row>
    <row r="61" spans="1:14" x14ac:dyDescent="0.25">
      <c r="A61" s="29">
        <v>3</v>
      </c>
      <c r="B61" s="3" t="s">
        <v>206</v>
      </c>
      <c r="C61" s="29">
        <v>7</v>
      </c>
      <c r="D61" s="29">
        <v>8</v>
      </c>
      <c r="E61" s="29">
        <v>5</v>
      </c>
      <c r="F61" s="29">
        <v>4</v>
      </c>
      <c r="G61" s="29">
        <f t="shared" si="1"/>
        <v>24</v>
      </c>
      <c r="H61" s="29">
        <f t="shared" si="0"/>
        <v>6</v>
      </c>
      <c r="I61" s="29">
        <f t="shared" si="2"/>
        <v>8</v>
      </c>
      <c r="J61" s="29">
        <f t="shared" si="3"/>
        <v>4</v>
      </c>
      <c r="K61" s="76">
        <v>0.75</v>
      </c>
      <c r="L61" s="29"/>
      <c r="M61" s="29"/>
      <c r="N61" s="3"/>
    </row>
    <row r="62" spans="1:14" x14ac:dyDescent="0.25">
      <c r="A62" s="29">
        <v>4</v>
      </c>
      <c r="B62" s="3" t="s">
        <v>207</v>
      </c>
      <c r="C62" s="29">
        <v>5</v>
      </c>
      <c r="D62" s="29">
        <v>8</v>
      </c>
      <c r="E62" s="29">
        <v>5</v>
      </c>
      <c r="F62" s="29">
        <v>4</v>
      </c>
      <c r="G62" s="29">
        <f t="shared" si="1"/>
        <v>22</v>
      </c>
      <c r="H62" s="29">
        <f t="shared" si="0"/>
        <v>5.5</v>
      </c>
      <c r="I62" s="29">
        <f t="shared" si="2"/>
        <v>8</v>
      </c>
      <c r="J62" s="29">
        <f t="shared" si="3"/>
        <v>4</v>
      </c>
      <c r="K62" s="76">
        <v>0.65</v>
      </c>
      <c r="L62" s="29"/>
      <c r="M62" s="29"/>
      <c r="N62" s="29"/>
    </row>
    <row r="63" spans="1:14" x14ac:dyDescent="0.25">
      <c r="A63" s="29">
        <v>5</v>
      </c>
      <c r="B63" s="3" t="s">
        <v>208</v>
      </c>
      <c r="C63" s="29">
        <v>7</v>
      </c>
      <c r="D63" s="29">
        <v>8</v>
      </c>
      <c r="E63" s="29">
        <v>5</v>
      </c>
      <c r="F63" s="29">
        <v>9</v>
      </c>
      <c r="G63" s="29">
        <f t="shared" si="1"/>
        <v>29</v>
      </c>
      <c r="H63" s="29">
        <f t="shared" si="0"/>
        <v>7.25</v>
      </c>
      <c r="I63" s="29">
        <f t="shared" si="2"/>
        <v>9</v>
      </c>
      <c r="J63" s="29">
        <f t="shared" si="3"/>
        <v>5</v>
      </c>
      <c r="K63" s="76">
        <v>0.8</v>
      </c>
      <c r="L63" s="29"/>
      <c r="M63" s="29"/>
      <c r="N63" s="29"/>
    </row>
    <row r="64" spans="1:14" x14ac:dyDescent="0.25">
      <c r="A64" s="29">
        <v>6</v>
      </c>
      <c r="B64" s="3" t="s">
        <v>209</v>
      </c>
      <c r="C64" s="29">
        <v>8</v>
      </c>
      <c r="D64" s="29">
        <v>8</v>
      </c>
      <c r="E64" s="29">
        <v>5</v>
      </c>
      <c r="F64" s="29">
        <v>10</v>
      </c>
      <c r="G64" s="29">
        <f t="shared" si="1"/>
        <v>31</v>
      </c>
      <c r="H64" s="29">
        <f t="shared" si="0"/>
        <v>7.75</v>
      </c>
      <c r="I64" s="29">
        <f t="shared" si="2"/>
        <v>10</v>
      </c>
      <c r="J64" s="29">
        <f t="shared" si="3"/>
        <v>5</v>
      </c>
      <c r="K64" s="76">
        <v>0.1</v>
      </c>
      <c r="L64" s="29"/>
      <c r="M64" s="29"/>
      <c r="N64" s="29"/>
    </row>
    <row r="65" spans="1:14" x14ac:dyDescent="0.25">
      <c r="A65" s="29">
        <v>7</v>
      </c>
      <c r="B65" s="3" t="s">
        <v>210</v>
      </c>
      <c r="C65" s="29">
        <v>1</v>
      </c>
      <c r="D65" s="29">
        <v>5</v>
      </c>
      <c r="E65" s="29">
        <v>5</v>
      </c>
      <c r="F65" s="29">
        <v>7</v>
      </c>
      <c r="G65" s="29">
        <f t="shared" si="1"/>
        <v>18</v>
      </c>
      <c r="H65" s="29">
        <f t="shared" si="0"/>
        <v>4.5</v>
      </c>
      <c r="I65" s="29">
        <f t="shared" si="2"/>
        <v>7</v>
      </c>
      <c r="J65" s="29">
        <f t="shared" si="3"/>
        <v>1</v>
      </c>
      <c r="K65" s="76">
        <v>0.15</v>
      </c>
      <c r="L65" s="29"/>
      <c r="M65" s="29"/>
      <c r="N65" s="29"/>
    </row>
    <row r="66" spans="1:14" x14ac:dyDescent="0.25">
      <c r="A66" s="29">
        <v>8</v>
      </c>
      <c r="B66" s="3" t="s">
        <v>211</v>
      </c>
      <c r="C66" s="29">
        <v>4</v>
      </c>
      <c r="D66" s="29">
        <v>5</v>
      </c>
      <c r="E66" s="29">
        <v>5</v>
      </c>
      <c r="F66" s="29">
        <v>8</v>
      </c>
      <c r="G66" s="29">
        <f t="shared" si="1"/>
        <v>22</v>
      </c>
      <c r="H66" s="29">
        <f t="shared" si="0"/>
        <v>5.5</v>
      </c>
      <c r="I66" s="29">
        <f t="shared" si="2"/>
        <v>8</v>
      </c>
      <c r="J66" s="29">
        <f t="shared" si="3"/>
        <v>4</v>
      </c>
      <c r="K66" s="76">
        <v>0.28000000000000003</v>
      </c>
      <c r="L66" s="29"/>
      <c r="M66" s="29"/>
      <c r="N66" s="29"/>
    </row>
    <row r="67" spans="1:14" x14ac:dyDescent="0.25">
      <c r="A67" s="29">
        <v>9</v>
      </c>
      <c r="B67" s="3" t="s">
        <v>212</v>
      </c>
      <c r="C67" s="29">
        <v>3</v>
      </c>
      <c r="D67" s="29">
        <v>5</v>
      </c>
      <c r="E67" s="29">
        <v>5</v>
      </c>
      <c r="F67" s="29">
        <v>4</v>
      </c>
      <c r="G67" s="29">
        <f t="shared" si="1"/>
        <v>17</v>
      </c>
      <c r="H67" s="29">
        <f t="shared" si="0"/>
        <v>4.25</v>
      </c>
      <c r="I67" s="29">
        <f t="shared" si="2"/>
        <v>5</v>
      </c>
      <c r="J67" s="29">
        <f t="shared" si="3"/>
        <v>3</v>
      </c>
      <c r="K67" s="76">
        <v>0.33</v>
      </c>
      <c r="L67" s="29"/>
      <c r="M67" s="29"/>
      <c r="N67" s="3"/>
    </row>
    <row r="68" spans="1:14" x14ac:dyDescent="0.25">
      <c r="A68" s="29">
        <v>10</v>
      </c>
      <c r="B68" s="3" t="s">
        <v>213</v>
      </c>
      <c r="C68" s="29">
        <v>7</v>
      </c>
      <c r="D68" s="29">
        <v>5</v>
      </c>
      <c r="E68" s="29">
        <v>5</v>
      </c>
      <c r="F68" s="29">
        <v>8</v>
      </c>
      <c r="G68" s="29">
        <f t="shared" si="1"/>
        <v>25</v>
      </c>
      <c r="H68" s="29">
        <f t="shared" si="0"/>
        <v>6.25</v>
      </c>
      <c r="I68" s="29">
        <f t="shared" si="2"/>
        <v>8</v>
      </c>
      <c r="J68" s="29">
        <f t="shared" si="3"/>
        <v>5</v>
      </c>
      <c r="K68" s="76">
        <v>0.28000000000000003</v>
      </c>
      <c r="L68" s="29"/>
      <c r="M68" s="29"/>
      <c r="N68" s="3"/>
    </row>
    <row r="69" spans="1:14" x14ac:dyDescent="0.25">
      <c r="A69" s="29">
        <v>11</v>
      </c>
      <c r="B69" s="3" t="s">
        <v>214</v>
      </c>
      <c r="C69" s="29">
        <v>8</v>
      </c>
      <c r="D69" s="29">
        <v>5</v>
      </c>
      <c r="E69" s="29">
        <v>5</v>
      </c>
      <c r="F69" s="29">
        <v>10</v>
      </c>
      <c r="G69" s="29">
        <f t="shared" si="1"/>
        <v>28</v>
      </c>
      <c r="H69" s="29">
        <f t="shared" si="0"/>
        <v>7</v>
      </c>
      <c r="I69" s="29">
        <f t="shared" si="2"/>
        <v>10</v>
      </c>
      <c r="J69" s="29">
        <f t="shared" si="3"/>
        <v>5</v>
      </c>
      <c r="K69" s="76">
        <v>0.25</v>
      </c>
      <c r="L69" s="29"/>
      <c r="M69" s="29"/>
      <c r="N69" s="3"/>
    </row>
    <row r="72" spans="1:14" ht="31.5" customHeight="1" x14ac:dyDescent="0.25">
      <c r="A72" s="83" t="s">
        <v>224</v>
      </c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</row>
    <row r="73" spans="1:14" x14ac:dyDescent="0.25">
      <c r="A73" s="83" t="s">
        <v>225</v>
      </c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</row>
    <row r="74" spans="1:14" ht="33.75" customHeight="1" x14ac:dyDescent="0.25">
      <c r="A74" s="80" t="s">
        <v>226</v>
      </c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</row>
    <row r="75" spans="1:14" ht="48" customHeight="1" x14ac:dyDescent="0.25">
      <c r="A75" s="80" t="s">
        <v>227</v>
      </c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</row>
    <row r="76" spans="1:14" x14ac:dyDescent="0.2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8"/>
      <c r="M76" s="78"/>
    </row>
    <row r="77" spans="1:14" x14ac:dyDescent="0.2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8"/>
      <c r="M77" s="78"/>
    </row>
  </sheetData>
  <mergeCells count="6">
    <mergeCell ref="A75:M75"/>
    <mergeCell ref="A1:N1"/>
    <mergeCell ref="A2:N2"/>
    <mergeCell ref="A72:M72"/>
    <mergeCell ref="A73:M73"/>
    <mergeCell ref="A74:M74"/>
  </mergeCells>
  <pageMargins left="0.51181102362204722" right="0.51181102362204722" top="0.78740157480314965" bottom="0.78740157480314965" header="0.31496062992125984" footer="0.31496062992125984"/>
  <pageSetup paperSize="9" orientation="portrait" r:id="rId1"/>
  <headerFooter>
    <oddHeader>&amp;C&amp;"Arial"&amp;8&amp;K000000INTERNAL&amp;1#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9"/>
  <sheetViews>
    <sheetView workbookViewId="0">
      <selection activeCell="O5" sqref="O5"/>
    </sheetView>
  </sheetViews>
  <sheetFormatPr defaultRowHeight="15" x14ac:dyDescent="0.25"/>
  <cols>
    <col min="1" max="1" width="2.5703125" customWidth="1"/>
    <col min="2" max="2" width="14.140625" customWidth="1"/>
    <col min="3" max="3" width="8.7109375" customWidth="1"/>
    <col min="4" max="5" width="10.5703125" customWidth="1"/>
    <col min="6" max="6" width="8.140625" customWidth="1"/>
    <col min="7" max="7" width="13" customWidth="1"/>
    <col min="8" max="8" width="14.28515625" customWidth="1"/>
    <col min="9" max="9" width="13.28515625" bestFit="1" customWidth="1"/>
    <col min="10" max="10" width="10.28515625" customWidth="1"/>
    <col min="11" max="11" width="13.28515625" bestFit="1" customWidth="1"/>
    <col min="12" max="12" width="10" customWidth="1"/>
    <col min="13" max="13" width="11.5703125" customWidth="1"/>
    <col min="14" max="14" width="1.85546875" customWidth="1"/>
    <col min="15" max="15" width="10.28515625" customWidth="1"/>
    <col min="16" max="16" width="5.7109375" customWidth="1"/>
    <col min="17" max="17" width="2.140625" customWidth="1"/>
    <col min="18" max="18" width="10.5703125" customWidth="1"/>
    <col min="19" max="19" width="7.28515625" customWidth="1"/>
    <col min="20" max="20" width="1.5703125" customWidth="1"/>
  </cols>
  <sheetData>
    <row r="1" spans="1:20" ht="14.25" customHeight="1" thickBot="1" x14ac:dyDescent="0.3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</row>
    <row r="2" spans="1:20" ht="40.5" customHeight="1" thickBot="1" x14ac:dyDescent="0.4">
      <c r="A2" s="60"/>
      <c r="B2" s="93" t="s">
        <v>180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5"/>
      <c r="N2" s="41"/>
      <c r="O2" s="37" t="s">
        <v>131</v>
      </c>
      <c r="P2" s="33">
        <v>0.3</v>
      </c>
      <c r="Q2" s="73"/>
      <c r="R2" s="53" t="s">
        <v>143</v>
      </c>
      <c r="S2" s="34">
        <v>0.1</v>
      </c>
      <c r="T2" s="60"/>
    </row>
    <row r="3" spans="1:20" x14ac:dyDescent="0.25">
      <c r="A3" s="60"/>
      <c r="B3" s="96"/>
      <c r="C3" s="97"/>
      <c r="D3" s="97"/>
      <c r="E3" s="97"/>
      <c r="F3" s="97"/>
      <c r="G3" s="98"/>
      <c r="H3" s="52" t="s">
        <v>137</v>
      </c>
      <c r="I3" s="52" t="s">
        <v>138</v>
      </c>
      <c r="J3" s="52" t="s">
        <v>139</v>
      </c>
      <c r="K3" s="52" t="s">
        <v>140</v>
      </c>
      <c r="L3" s="52" t="s">
        <v>141</v>
      </c>
      <c r="M3" s="52" t="s">
        <v>142</v>
      </c>
      <c r="N3" s="41"/>
      <c r="O3" s="60"/>
      <c r="P3" s="60"/>
      <c r="Q3" s="60"/>
      <c r="R3" s="60"/>
      <c r="S3" s="60"/>
      <c r="T3" s="60"/>
    </row>
    <row r="4" spans="1:20" ht="41.25" customHeight="1" x14ac:dyDescent="0.25">
      <c r="A4" s="60"/>
      <c r="B4" s="42" t="s">
        <v>115</v>
      </c>
      <c r="C4" s="31" t="s">
        <v>117</v>
      </c>
      <c r="D4" s="31" t="s">
        <v>116</v>
      </c>
      <c r="E4" s="31" t="s">
        <v>133</v>
      </c>
      <c r="F4" s="31" t="s">
        <v>150</v>
      </c>
      <c r="G4" s="38" t="s">
        <v>132</v>
      </c>
      <c r="H4" s="31" t="s">
        <v>146</v>
      </c>
      <c r="I4" s="31" t="s">
        <v>145</v>
      </c>
      <c r="J4" s="38" t="s">
        <v>136</v>
      </c>
      <c r="K4" s="32" t="s">
        <v>135</v>
      </c>
      <c r="L4" s="31" t="s">
        <v>118</v>
      </c>
      <c r="M4" s="43" t="s">
        <v>119</v>
      </c>
      <c r="N4" s="41"/>
    </row>
    <row r="5" spans="1:20" s="11" customFormat="1" x14ac:dyDescent="0.25">
      <c r="A5" s="58"/>
      <c r="B5" s="44" t="s">
        <v>120</v>
      </c>
      <c r="C5" s="35" t="s">
        <v>121</v>
      </c>
      <c r="D5" s="39">
        <v>230</v>
      </c>
      <c r="E5" s="40">
        <v>3.95</v>
      </c>
      <c r="F5" s="39">
        <v>1230</v>
      </c>
      <c r="G5" s="39">
        <v>720</v>
      </c>
      <c r="H5" s="45">
        <f>E5+(E5*P2)</f>
        <v>5.1349999999999998</v>
      </c>
      <c r="I5" s="45">
        <f>G5*H5</f>
        <v>3697.2</v>
      </c>
      <c r="J5" s="35">
        <f>IF(I5&gt;3000, I5*S2,0)</f>
        <v>369.72</v>
      </c>
      <c r="K5" s="79">
        <f>I5-J5</f>
        <v>3327.4799999999996</v>
      </c>
      <c r="L5" s="39">
        <f>F5-G5</f>
        <v>510</v>
      </c>
      <c r="M5" s="46" t="s">
        <v>229</v>
      </c>
      <c r="N5" s="41"/>
    </row>
    <row r="6" spans="1:20" s="11" customFormat="1" x14ac:dyDescent="0.25">
      <c r="A6" s="58"/>
      <c r="B6" s="44" t="s">
        <v>122</v>
      </c>
      <c r="C6" s="35" t="s">
        <v>121</v>
      </c>
      <c r="D6" s="39">
        <v>350</v>
      </c>
      <c r="E6" s="40">
        <v>1.5</v>
      </c>
      <c r="F6" s="39">
        <v>1350</v>
      </c>
      <c r="G6" s="39">
        <v>1200</v>
      </c>
      <c r="H6" s="45">
        <f>E6+(E6*P2)</f>
        <v>1.95</v>
      </c>
      <c r="I6" s="45">
        <f t="shared" ref="I6:I9" si="0">G6*H6</f>
        <v>2340</v>
      </c>
      <c r="J6" s="35">
        <v>0</v>
      </c>
      <c r="K6" s="79">
        <f t="shared" ref="K6:K9" si="1">I6-J6</f>
        <v>2340</v>
      </c>
      <c r="L6" s="39">
        <f t="shared" ref="L6:L9" si="2">F6-G6</f>
        <v>150</v>
      </c>
      <c r="M6" s="46" t="s">
        <v>230</v>
      </c>
      <c r="N6" s="41"/>
    </row>
    <row r="7" spans="1:20" s="11" customFormat="1" x14ac:dyDescent="0.25">
      <c r="A7" s="58"/>
      <c r="B7" s="44" t="s">
        <v>123</v>
      </c>
      <c r="C7" s="35" t="s">
        <v>124</v>
      </c>
      <c r="D7" s="39">
        <v>130</v>
      </c>
      <c r="E7" s="40">
        <v>9</v>
      </c>
      <c r="F7" s="39">
        <v>1130</v>
      </c>
      <c r="G7" s="39">
        <v>500</v>
      </c>
      <c r="H7" s="45">
        <f>E7+(E7*P2)</f>
        <v>11.7</v>
      </c>
      <c r="I7" s="45">
        <f t="shared" si="0"/>
        <v>5850</v>
      </c>
      <c r="J7" s="35">
        <f>I7*S2</f>
        <v>585</v>
      </c>
      <c r="K7" s="79">
        <f t="shared" si="1"/>
        <v>5265</v>
      </c>
      <c r="L7" s="39">
        <f t="shared" si="2"/>
        <v>630</v>
      </c>
      <c r="M7" s="46" t="s">
        <v>229</v>
      </c>
      <c r="N7" s="41"/>
    </row>
    <row r="8" spans="1:20" s="11" customFormat="1" x14ac:dyDescent="0.25">
      <c r="A8" s="58"/>
      <c r="B8" s="44" t="s">
        <v>125</v>
      </c>
      <c r="C8" s="35" t="s">
        <v>124</v>
      </c>
      <c r="D8" s="39">
        <v>80</v>
      </c>
      <c r="E8" s="40">
        <v>35</v>
      </c>
      <c r="F8" s="39">
        <v>1080</v>
      </c>
      <c r="G8" s="39">
        <v>1050</v>
      </c>
      <c r="H8" s="45">
        <f>E8+(E8*P2)</f>
        <v>45.5</v>
      </c>
      <c r="I8" s="45">
        <f>G8*H8</f>
        <v>47775</v>
      </c>
      <c r="J8" s="35">
        <f>I8*S2</f>
        <v>4777.5</v>
      </c>
      <c r="K8" s="79">
        <f>I8-J8</f>
        <v>42997.5</v>
      </c>
      <c r="L8" s="39">
        <f t="shared" si="2"/>
        <v>30</v>
      </c>
      <c r="M8" s="46" t="s">
        <v>230</v>
      </c>
      <c r="N8" s="41"/>
    </row>
    <row r="9" spans="1:20" s="11" customFormat="1" ht="15.75" thickBot="1" x14ac:dyDescent="0.3">
      <c r="A9" s="58"/>
      <c r="B9" s="47" t="s">
        <v>126</v>
      </c>
      <c r="C9" s="48" t="s">
        <v>121</v>
      </c>
      <c r="D9" s="49">
        <v>300</v>
      </c>
      <c r="E9" s="50">
        <v>1.3</v>
      </c>
      <c r="F9" s="49">
        <v>1300</v>
      </c>
      <c r="G9" s="49">
        <v>580</v>
      </c>
      <c r="H9" s="45">
        <f>E9+(E9*P2)</f>
        <v>1.69</v>
      </c>
      <c r="I9" s="45">
        <f t="shared" si="0"/>
        <v>980.19999999999993</v>
      </c>
      <c r="J9" s="48">
        <v>0</v>
      </c>
      <c r="K9" s="79">
        <f t="shared" si="1"/>
        <v>980.19999999999993</v>
      </c>
      <c r="L9" s="39">
        <f t="shared" si="2"/>
        <v>720</v>
      </c>
      <c r="M9" s="51" t="s">
        <v>229</v>
      </c>
      <c r="N9" s="41"/>
    </row>
    <row r="10" spans="1:20" ht="10.5" customHeight="1" thickBot="1" x14ac:dyDescent="0.3">
      <c r="A10" s="60"/>
      <c r="B10" s="60"/>
      <c r="C10" s="72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 spans="1:20" ht="16.5" thickBot="1" x14ac:dyDescent="0.3">
      <c r="A11" s="60"/>
      <c r="B11" s="90" t="s">
        <v>134</v>
      </c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2"/>
      <c r="N11" s="60"/>
    </row>
    <row r="12" spans="1:20" ht="22.5" customHeight="1" x14ac:dyDescent="0.25">
      <c r="A12" s="60"/>
      <c r="B12" s="99" t="s">
        <v>147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1"/>
      <c r="N12" s="70"/>
    </row>
    <row r="13" spans="1:20" ht="22.5" customHeight="1" x14ac:dyDescent="0.25">
      <c r="A13" s="60"/>
      <c r="B13" s="84" t="s">
        <v>148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6"/>
      <c r="N13" s="70"/>
    </row>
    <row r="14" spans="1:20" ht="22.5" customHeight="1" x14ac:dyDescent="0.25">
      <c r="A14" s="60"/>
      <c r="B14" s="84" t="s">
        <v>149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6"/>
      <c r="N14" s="70"/>
    </row>
    <row r="15" spans="1:20" ht="22.5" customHeight="1" x14ac:dyDescent="0.25">
      <c r="A15" s="60"/>
      <c r="B15" s="84" t="s">
        <v>144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6"/>
      <c r="N15" s="60"/>
    </row>
    <row r="16" spans="1:20" ht="22.5" customHeight="1" x14ac:dyDescent="0.25">
      <c r="A16" s="60"/>
      <c r="B16" s="84" t="s">
        <v>153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6"/>
      <c r="N16" s="60"/>
    </row>
    <row r="17" spans="1:14" ht="31.5" customHeight="1" thickBot="1" x14ac:dyDescent="0.3">
      <c r="A17" s="60"/>
      <c r="B17" s="87" t="s">
        <v>151</v>
      </c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9"/>
      <c r="N17" s="71"/>
    </row>
    <row r="18" spans="1:14" x14ac:dyDescent="0.2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</row>
    <row r="20" spans="1:14" x14ac:dyDescent="0.25">
      <c r="B20" s="4"/>
      <c r="C20" s="4"/>
    </row>
    <row r="29" spans="1:14" x14ac:dyDescent="0.25">
      <c r="G29" t="s">
        <v>152</v>
      </c>
    </row>
  </sheetData>
  <mergeCells count="9">
    <mergeCell ref="B16:M16"/>
    <mergeCell ref="B17:M17"/>
    <mergeCell ref="B11:M11"/>
    <mergeCell ref="B2:M2"/>
    <mergeCell ref="B3:G3"/>
    <mergeCell ref="B12:M12"/>
    <mergeCell ref="B13:M13"/>
    <mergeCell ref="B14:M14"/>
    <mergeCell ref="B15:M15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&amp;C&amp;"Arial"&amp;8&amp;K000000INTERNAL&amp;1#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8"/>
  <sheetViews>
    <sheetView tabSelected="1" workbookViewId="0">
      <selection activeCell="E5" sqref="E5"/>
    </sheetView>
  </sheetViews>
  <sheetFormatPr defaultRowHeight="15" x14ac:dyDescent="0.25"/>
  <cols>
    <col min="1" max="1" width="2.42578125" customWidth="1"/>
    <col min="2" max="2" width="21.7109375" customWidth="1"/>
    <col min="3" max="3" width="17.7109375" customWidth="1"/>
    <col min="4" max="4" width="13.28515625" style="11" customWidth="1"/>
    <col min="5" max="5" width="39.7109375" customWidth="1"/>
    <col min="6" max="6" width="2.42578125" customWidth="1"/>
    <col min="7" max="7" width="15.42578125" customWidth="1"/>
    <col min="12" max="12" width="12.28515625" customWidth="1"/>
    <col min="13" max="13" width="1.85546875" customWidth="1"/>
  </cols>
  <sheetData>
    <row r="1" spans="1:13" ht="15.75" thickBot="1" x14ac:dyDescent="0.3">
      <c r="A1" s="60"/>
      <c r="B1" s="60"/>
      <c r="C1" s="60"/>
      <c r="D1" s="58"/>
      <c r="E1" s="60"/>
      <c r="F1" s="60"/>
      <c r="G1" s="60"/>
      <c r="H1" s="60"/>
      <c r="I1" s="60"/>
      <c r="J1" s="60"/>
      <c r="K1" s="60"/>
      <c r="L1" s="60"/>
      <c r="M1" s="60"/>
    </row>
    <row r="2" spans="1:13" ht="27" customHeight="1" thickBot="1" x14ac:dyDescent="0.4">
      <c r="A2" s="60"/>
      <c r="B2" s="104" t="s">
        <v>179</v>
      </c>
      <c r="C2" s="105"/>
      <c r="D2" s="105"/>
      <c r="E2" s="105"/>
      <c r="F2" s="60"/>
      <c r="G2" s="106" t="s">
        <v>134</v>
      </c>
      <c r="H2" s="106"/>
      <c r="I2" s="106"/>
      <c r="J2" s="106"/>
      <c r="K2" s="106"/>
      <c r="L2" s="106"/>
      <c r="M2" s="60"/>
    </row>
    <row r="3" spans="1:13" x14ac:dyDescent="0.25">
      <c r="A3" s="60"/>
      <c r="B3" s="1" t="s">
        <v>1</v>
      </c>
      <c r="C3" s="1" t="s">
        <v>2</v>
      </c>
      <c r="D3" s="1" t="s">
        <v>3</v>
      </c>
      <c r="E3" s="2" t="s">
        <v>4</v>
      </c>
      <c r="F3" s="60"/>
      <c r="G3" s="102" t="s">
        <v>13</v>
      </c>
      <c r="H3" s="102"/>
      <c r="I3" s="102"/>
      <c r="J3" s="102"/>
      <c r="K3" s="102"/>
      <c r="L3" s="102"/>
      <c r="M3" s="60"/>
    </row>
    <row r="4" spans="1:13" ht="15.75" customHeight="1" x14ac:dyDescent="0.25">
      <c r="A4" s="60"/>
      <c r="B4" s="3" t="s">
        <v>5</v>
      </c>
      <c r="C4" s="54">
        <v>60000</v>
      </c>
      <c r="D4" s="29" t="s">
        <v>6</v>
      </c>
      <c r="E4" s="55">
        <f>IF(OR(D4="NORTE",D4="LESTE"),C4*5%,IF(OR(D4="SUL",D4="OESTE"),C4*10%,1000))</f>
        <v>6000</v>
      </c>
      <c r="F4" s="60"/>
      <c r="G4" s="103" t="s">
        <v>188</v>
      </c>
      <c r="H4" s="103"/>
      <c r="I4" s="103"/>
      <c r="J4" s="103"/>
      <c r="K4" s="103"/>
      <c r="L4" s="103"/>
      <c r="M4" s="60"/>
    </row>
    <row r="5" spans="1:13" x14ac:dyDescent="0.25">
      <c r="A5" s="60"/>
      <c r="B5" s="3" t="s">
        <v>7</v>
      </c>
      <c r="C5" s="54">
        <v>80000</v>
      </c>
      <c r="D5" s="29" t="s">
        <v>8</v>
      </c>
      <c r="E5" s="55">
        <f t="shared" ref="E5:E21" si="0">IF(OR(D5="NORTE",D5="LESTE"),C5*5%,IF(OR(D5="SUL",D5="OESTE"),C5*10%,1000))</f>
        <v>8000</v>
      </c>
      <c r="F5" s="60"/>
      <c r="G5" s="103"/>
      <c r="H5" s="103"/>
      <c r="I5" s="103"/>
      <c r="J5" s="103"/>
      <c r="K5" s="103"/>
      <c r="L5" s="103"/>
      <c r="M5" s="60"/>
    </row>
    <row r="6" spans="1:13" x14ac:dyDescent="0.25">
      <c r="A6" s="60"/>
      <c r="B6" s="3" t="s">
        <v>9</v>
      </c>
      <c r="C6" s="54">
        <v>45000</v>
      </c>
      <c r="D6" s="29" t="s">
        <v>12</v>
      </c>
      <c r="E6" s="55">
        <f t="shared" si="0"/>
        <v>1000</v>
      </c>
      <c r="F6" s="60"/>
      <c r="G6" s="103"/>
      <c r="H6" s="103"/>
      <c r="I6" s="103"/>
      <c r="J6" s="103"/>
      <c r="K6" s="103"/>
      <c r="L6" s="103"/>
      <c r="M6" s="60"/>
    </row>
    <row r="7" spans="1:13" x14ac:dyDescent="0.25">
      <c r="A7" s="60"/>
      <c r="B7" s="3" t="s">
        <v>10</v>
      </c>
      <c r="C7" s="54">
        <v>60000</v>
      </c>
      <c r="D7" s="29" t="s">
        <v>8</v>
      </c>
      <c r="E7" s="55">
        <f t="shared" si="0"/>
        <v>6000</v>
      </c>
      <c r="F7" s="60"/>
      <c r="G7" s="103"/>
      <c r="H7" s="103"/>
      <c r="I7" s="103"/>
      <c r="J7" s="103"/>
      <c r="K7" s="103"/>
      <c r="L7" s="103"/>
      <c r="M7" s="60"/>
    </row>
    <row r="8" spans="1:13" x14ac:dyDescent="0.25">
      <c r="A8" s="60"/>
      <c r="B8" s="3" t="s">
        <v>11</v>
      </c>
      <c r="C8" s="54">
        <v>55000</v>
      </c>
      <c r="D8" s="29" t="s">
        <v>12</v>
      </c>
      <c r="E8" s="55">
        <f t="shared" si="0"/>
        <v>1000</v>
      </c>
      <c r="F8" s="60"/>
      <c r="G8" s="103"/>
      <c r="H8" s="103"/>
      <c r="I8" s="103"/>
      <c r="J8" s="103"/>
      <c r="K8" s="103"/>
      <c r="L8" s="103"/>
      <c r="M8" s="60"/>
    </row>
    <row r="9" spans="1:13" x14ac:dyDescent="0.25">
      <c r="A9" s="60"/>
      <c r="B9" s="3" t="s">
        <v>154</v>
      </c>
      <c r="C9" s="54">
        <v>48000</v>
      </c>
      <c r="D9" s="29" t="s">
        <v>12</v>
      </c>
      <c r="E9" s="55">
        <f t="shared" si="0"/>
        <v>1000</v>
      </c>
      <c r="F9" s="60"/>
      <c r="G9" s="103"/>
      <c r="H9" s="103"/>
      <c r="I9" s="103"/>
      <c r="J9" s="103"/>
      <c r="K9" s="103"/>
      <c r="L9" s="103"/>
      <c r="M9" s="60"/>
    </row>
    <row r="10" spans="1:13" x14ac:dyDescent="0.25">
      <c r="A10" s="60"/>
      <c r="B10" s="3" t="s">
        <v>155</v>
      </c>
      <c r="C10" s="54">
        <v>125000</v>
      </c>
      <c r="D10" s="29" t="s">
        <v>6</v>
      </c>
      <c r="E10" s="55">
        <f t="shared" si="0"/>
        <v>12500</v>
      </c>
      <c r="F10" s="60"/>
      <c r="G10" s="69"/>
      <c r="H10" s="69"/>
      <c r="I10" s="69"/>
      <c r="J10" s="69"/>
      <c r="K10" s="69"/>
      <c r="L10" s="69"/>
      <c r="M10" s="60"/>
    </row>
    <row r="11" spans="1:13" x14ac:dyDescent="0.25">
      <c r="A11" s="60"/>
      <c r="B11" s="3" t="s">
        <v>156</v>
      </c>
      <c r="C11" s="54">
        <v>75000</v>
      </c>
      <c r="D11" s="29" t="s">
        <v>6</v>
      </c>
      <c r="E11" s="55">
        <f t="shared" si="0"/>
        <v>7500</v>
      </c>
      <c r="F11" s="60"/>
    </row>
    <row r="12" spans="1:13" x14ac:dyDescent="0.25">
      <c r="A12" s="60"/>
      <c r="B12" s="3" t="s">
        <v>157</v>
      </c>
      <c r="C12" s="54">
        <v>44500</v>
      </c>
      <c r="D12" s="29" t="s">
        <v>8</v>
      </c>
      <c r="E12" s="55">
        <f t="shared" si="0"/>
        <v>4450</v>
      </c>
      <c r="F12" s="60"/>
    </row>
    <row r="13" spans="1:13" x14ac:dyDescent="0.25">
      <c r="A13" s="60"/>
      <c r="B13" s="3" t="s">
        <v>158</v>
      </c>
      <c r="C13" s="54">
        <v>35200</v>
      </c>
      <c r="D13" s="29" t="s">
        <v>8</v>
      </c>
      <c r="E13" s="55">
        <f t="shared" si="0"/>
        <v>3520</v>
      </c>
      <c r="F13" s="60"/>
    </row>
    <row r="14" spans="1:13" x14ac:dyDescent="0.25">
      <c r="A14" s="60"/>
      <c r="B14" s="3" t="s">
        <v>159</v>
      </c>
      <c r="C14" s="54">
        <v>88000</v>
      </c>
      <c r="D14" s="29" t="s">
        <v>6</v>
      </c>
      <c r="E14" s="55">
        <f t="shared" si="0"/>
        <v>8800</v>
      </c>
      <c r="F14" s="60"/>
    </row>
    <row r="15" spans="1:13" x14ac:dyDescent="0.25">
      <c r="A15" s="60"/>
      <c r="B15" s="3" t="s">
        <v>160</v>
      </c>
      <c r="C15" s="54">
        <v>32000</v>
      </c>
      <c r="D15" s="29" t="s">
        <v>8</v>
      </c>
      <c r="E15" s="55">
        <f t="shared" si="0"/>
        <v>3200</v>
      </c>
      <c r="F15" s="60"/>
    </row>
    <row r="16" spans="1:13" x14ac:dyDescent="0.25">
      <c r="A16" s="60"/>
      <c r="B16" s="3" t="s">
        <v>161</v>
      </c>
      <c r="C16" s="54">
        <v>28000</v>
      </c>
      <c r="D16" s="29" t="s">
        <v>12</v>
      </c>
      <c r="E16" s="55">
        <f t="shared" si="0"/>
        <v>1000</v>
      </c>
      <c r="F16" s="60"/>
    </row>
    <row r="17" spans="1:6" x14ac:dyDescent="0.25">
      <c r="A17" s="60"/>
      <c r="B17" s="3" t="s">
        <v>162</v>
      </c>
      <c r="C17" s="54">
        <v>108000</v>
      </c>
      <c r="D17" s="29" t="s">
        <v>8</v>
      </c>
      <c r="E17" s="55">
        <f t="shared" si="0"/>
        <v>10800</v>
      </c>
      <c r="F17" s="60"/>
    </row>
    <row r="18" spans="1:6" x14ac:dyDescent="0.25">
      <c r="A18" s="60"/>
      <c r="B18" s="3" t="s">
        <v>163</v>
      </c>
      <c r="C18" s="54">
        <v>99000</v>
      </c>
      <c r="D18" s="29" t="s">
        <v>12</v>
      </c>
      <c r="E18" s="55">
        <f t="shared" si="0"/>
        <v>1000</v>
      </c>
      <c r="F18" s="60"/>
    </row>
    <row r="19" spans="1:6" x14ac:dyDescent="0.25">
      <c r="A19" s="60"/>
      <c r="B19" s="3" t="s">
        <v>164</v>
      </c>
      <c r="C19" s="54">
        <v>40000</v>
      </c>
      <c r="D19" s="29" t="s">
        <v>8</v>
      </c>
      <c r="E19" s="55">
        <f t="shared" si="0"/>
        <v>4000</v>
      </c>
      <c r="F19" s="60"/>
    </row>
    <row r="20" spans="1:6" x14ac:dyDescent="0.25">
      <c r="A20" s="60"/>
      <c r="B20" s="3" t="s">
        <v>165</v>
      </c>
      <c r="C20" s="54">
        <v>38000</v>
      </c>
      <c r="D20" s="29" t="s">
        <v>6</v>
      </c>
      <c r="E20" s="55">
        <f t="shared" si="0"/>
        <v>3800</v>
      </c>
      <c r="F20" s="60"/>
    </row>
    <row r="21" spans="1:6" x14ac:dyDescent="0.25">
      <c r="A21" s="60"/>
      <c r="B21" s="3" t="s">
        <v>166</v>
      </c>
      <c r="C21" s="54">
        <v>77000</v>
      </c>
      <c r="D21" s="29" t="s">
        <v>12</v>
      </c>
      <c r="E21" s="55">
        <f t="shared" si="0"/>
        <v>1000</v>
      </c>
      <c r="F21" s="60"/>
    </row>
    <row r="22" spans="1:6" ht="10.5" customHeight="1" x14ac:dyDescent="0.25">
      <c r="A22" s="60"/>
      <c r="B22" s="60"/>
      <c r="C22" s="60"/>
      <c r="D22" s="58"/>
      <c r="E22" s="60"/>
      <c r="F22" s="60"/>
    </row>
    <row r="23" spans="1:6" ht="10.5" customHeight="1" x14ac:dyDescent="0.25"/>
    <row r="24" spans="1:6" ht="19.5" customHeight="1" x14ac:dyDescent="0.25"/>
    <row r="25" spans="1:6" ht="61.5" customHeight="1" x14ac:dyDescent="0.25"/>
    <row r="27" spans="1:6" ht="39" customHeight="1" x14ac:dyDescent="0.25">
      <c r="D27"/>
    </row>
    <row r="28" spans="1:6" x14ac:dyDescent="0.25">
      <c r="D28"/>
    </row>
  </sheetData>
  <mergeCells count="4">
    <mergeCell ref="G3:L3"/>
    <mergeCell ref="G4:L9"/>
    <mergeCell ref="B2:E2"/>
    <mergeCell ref="G2:L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Header>&amp;C&amp;"Arial"&amp;8&amp;K000000INTERNAL&amp;1#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1"/>
  <sheetViews>
    <sheetView workbookViewId="0">
      <selection activeCell="D4" sqref="D4"/>
    </sheetView>
  </sheetViews>
  <sheetFormatPr defaultRowHeight="15" x14ac:dyDescent="0.25"/>
  <cols>
    <col min="1" max="1" width="2.42578125" customWidth="1"/>
    <col min="2" max="2" width="21.85546875" customWidth="1"/>
    <col min="3" max="3" width="21.42578125" customWidth="1"/>
    <col min="4" max="4" width="23.85546875" customWidth="1"/>
    <col min="5" max="5" width="2.42578125" customWidth="1"/>
    <col min="11" max="11" width="2.140625" customWidth="1"/>
  </cols>
  <sheetData>
    <row r="1" spans="1:17" ht="15.75" thickBot="1" x14ac:dyDescent="0.3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7" ht="27" customHeight="1" thickBot="1" x14ac:dyDescent="0.4">
      <c r="A2" s="60"/>
      <c r="B2" s="107" t="s">
        <v>180</v>
      </c>
      <c r="C2" s="108"/>
      <c r="D2" s="108"/>
      <c r="E2" s="60"/>
      <c r="F2" s="109" t="s">
        <v>134</v>
      </c>
      <c r="G2" s="109"/>
      <c r="H2" s="109"/>
      <c r="I2" s="109"/>
      <c r="J2" s="109"/>
      <c r="K2" s="60"/>
    </row>
    <row r="3" spans="1:17" ht="21" customHeight="1" x14ac:dyDescent="0.25">
      <c r="A3" s="60"/>
      <c r="B3" s="5" t="s">
        <v>14</v>
      </c>
      <c r="C3" s="6" t="s">
        <v>15</v>
      </c>
      <c r="D3" s="7" t="s">
        <v>16</v>
      </c>
      <c r="E3" s="60"/>
      <c r="F3" s="102" t="s">
        <v>186</v>
      </c>
      <c r="G3" s="102"/>
      <c r="H3" s="102"/>
      <c r="I3" s="102"/>
      <c r="J3" s="102"/>
      <c r="K3" s="60"/>
      <c r="P3" s="8"/>
      <c r="Q3" s="8"/>
    </row>
    <row r="4" spans="1:17" x14ac:dyDescent="0.25">
      <c r="A4" s="60"/>
      <c r="B4" s="9">
        <v>15</v>
      </c>
      <c r="C4" s="10">
        <v>450</v>
      </c>
      <c r="D4" s="10"/>
      <c r="E4" s="60"/>
      <c r="F4" s="110" t="s">
        <v>187</v>
      </c>
      <c r="G4" s="110"/>
      <c r="H4" s="110"/>
      <c r="I4" s="110"/>
      <c r="J4" s="110"/>
      <c r="K4" s="60"/>
    </row>
    <row r="5" spans="1:17" ht="15" customHeight="1" x14ac:dyDescent="0.25">
      <c r="A5" s="60"/>
      <c r="B5" s="9">
        <v>8</v>
      </c>
      <c r="C5" s="10">
        <v>240</v>
      </c>
      <c r="D5" s="10"/>
      <c r="E5" s="60"/>
      <c r="F5" s="110"/>
      <c r="G5" s="110"/>
      <c r="H5" s="110"/>
      <c r="I5" s="110"/>
      <c r="J5" s="110"/>
      <c r="K5" s="60"/>
    </row>
    <row r="6" spans="1:17" x14ac:dyDescent="0.25">
      <c r="A6" s="60"/>
      <c r="B6" s="9">
        <v>3</v>
      </c>
      <c r="C6" s="10">
        <v>600</v>
      </c>
      <c r="D6" s="10"/>
      <c r="E6" s="60"/>
      <c r="F6" s="110"/>
      <c r="G6" s="110"/>
      <c r="H6" s="110"/>
      <c r="I6" s="110"/>
      <c r="J6" s="110"/>
      <c r="K6" s="60"/>
    </row>
    <row r="7" spans="1:17" x14ac:dyDescent="0.25">
      <c r="A7" s="60"/>
      <c r="B7" s="9">
        <v>25</v>
      </c>
      <c r="C7" s="10">
        <v>250</v>
      </c>
      <c r="D7" s="10"/>
      <c r="E7" s="60"/>
      <c r="F7" s="110"/>
      <c r="G7" s="110"/>
      <c r="H7" s="110"/>
      <c r="I7" s="110"/>
      <c r="J7" s="110"/>
      <c r="K7" s="60"/>
    </row>
    <row r="8" spans="1:17" x14ac:dyDescent="0.25">
      <c r="A8" s="60"/>
      <c r="B8" s="9">
        <v>40</v>
      </c>
      <c r="C8" s="10">
        <v>800</v>
      </c>
      <c r="D8" s="10"/>
      <c r="E8" s="60"/>
      <c r="F8" s="110"/>
      <c r="G8" s="110"/>
      <c r="H8" s="110"/>
      <c r="I8" s="110"/>
      <c r="J8" s="110"/>
      <c r="K8" s="60"/>
    </row>
    <row r="9" spans="1:17" x14ac:dyDescent="0.25">
      <c r="A9" s="60"/>
      <c r="B9" s="9">
        <v>6</v>
      </c>
      <c r="C9" s="10">
        <v>750</v>
      </c>
      <c r="D9" s="10"/>
      <c r="E9" s="60"/>
      <c r="F9" s="110"/>
      <c r="G9" s="110"/>
      <c r="H9" s="110"/>
      <c r="I9" s="110"/>
      <c r="J9" s="110"/>
      <c r="K9" s="60"/>
    </row>
    <row r="10" spans="1:17" x14ac:dyDescent="0.25">
      <c r="A10" s="60"/>
      <c r="B10" s="9">
        <v>2</v>
      </c>
      <c r="C10" s="10">
        <v>100</v>
      </c>
      <c r="D10" s="10"/>
      <c r="E10" s="60"/>
      <c r="F10" s="110"/>
      <c r="G10" s="110"/>
      <c r="H10" s="110"/>
      <c r="I10" s="110"/>
      <c r="J10" s="110"/>
      <c r="K10" s="60"/>
    </row>
    <row r="11" spans="1:17" x14ac:dyDescent="0.25">
      <c r="A11" s="60"/>
      <c r="B11" s="60"/>
      <c r="C11" s="60"/>
      <c r="D11" s="60"/>
      <c r="E11" s="60"/>
      <c r="F11" s="69"/>
      <c r="G11" s="69"/>
      <c r="H11" s="69"/>
      <c r="I11" s="69"/>
      <c r="J11" s="69"/>
      <c r="K11" s="60"/>
    </row>
  </sheetData>
  <mergeCells count="4">
    <mergeCell ref="B2:D2"/>
    <mergeCell ref="F3:J3"/>
    <mergeCell ref="F2:J2"/>
    <mergeCell ref="F4:J10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&amp;C&amp;"Arial"&amp;8&amp;K000000INTERNAL&amp;1#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4"/>
  <sheetViews>
    <sheetView workbookViewId="0">
      <selection activeCell="Q10" sqref="Q10"/>
    </sheetView>
  </sheetViews>
  <sheetFormatPr defaultRowHeight="15" x14ac:dyDescent="0.25"/>
  <cols>
    <col min="1" max="1" width="2" style="11" customWidth="1"/>
    <col min="2" max="2" width="22.85546875" style="11" bestFit="1" customWidth="1"/>
    <col min="3" max="3" width="13.28515625" style="11" bestFit="1" customWidth="1"/>
    <col min="4" max="4" width="7.7109375" style="11" bestFit="1" customWidth="1"/>
    <col min="5" max="5" width="9.5703125" style="11" bestFit="1" customWidth="1"/>
    <col min="6" max="6" width="9.140625" style="11"/>
    <col min="7" max="7" width="8.7109375" style="11" bestFit="1" customWidth="1"/>
    <col min="8" max="9" width="6.7109375" style="11" bestFit="1" customWidth="1"/>
    <col min="10" max="10" width="9.140625" style="11"/>
    <col min="11" max="11" width="2.42578125" style="11" customWidth="1"/>
    <col min="12" max="12" width="14" style="11" customWidth="1"/>
    <col min="13" max="13" width="14.28515625" style="11" bestFit="1" customWidth="1"/>
    <col min="14" max="14" width="2.28515625" style="11" customWidth="1"/>
    <col min="15" max="20" width="9.140625" style="11"/>
    <col min="21" max="21" width="2.140625" style="11" customWidth="1"/>
    <col min="22" max="16384" width="9.140625" style="11"/>
  </cols>
  <sheetData>
    <row r="1" spans="1:21" ht="15.75" thickBot="1" x14ac:dyDescent="0.3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</row>
    <row r="2" spans="1:21" ht="21.75" thickBot="1" x14ac:dyDescent="0.4">
      <c r="A2" s="58"/>
      <c r="B2" s="104" t="s">
        <v>171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15"/>
      <c r="N2" s="58"/>
      <c r="O2" s="109" t="s">
        <v>134</v>
      </c>
      <c r="P2" s="109"/>
      <c r="Q2" s="109"/>
      <c r="R2" s="109"/>
      <c r="S2" s="109"/>
      <c r="T2" s="109"/>
      <c r="U2" s="58"/>
    </row>
    <row r="3" spans="1:21" ht="25.5" customHeight="1" x14ac:dyDescent="0.3">
      <c r="A3" s="58"/>
      <c r="B3" s="12" t="s">
        <v>17</v>
      </c>
      <c r="C3" s="13" t="s">
        <v>18</v>
      </c>
      <c r="D3" s="13" t="s">
        <v>19</v>
      </c>
      <c r="E3" s="13" t="s">
        <v>20</v>
      </c>
      <c r="F3" s="13" t="s">
        <v>21</v>
      </c>
      <c r="G3" s="13" t="s">
        <v>22</v>
      </c>
      <c r="H3" s="13" t="s">
        <v>23</v>
      </c>
      <c r="I3" s="13" t="s">
        <v>24</v>
      </c>
      <c r="J3" s="14" t="s">
        <v>25</v>
      </c>
      <c r="K3" s="56"/>
      <c r="L3" s="111" t="s">
        <v>167</v>
      </c>
      <c r="M3" s="112"/>
      <c r="N3" s="56"/>
      <c r="O3" s="116" t="s">
        <v>172</v>
      </c>
      <c r="P3" s="116"/>
      <c r="Q3" s="116"/>
      <c r="R3" s="116"/>
      <c r="S3" s="116"/>
      <c r="T3" s="116"/>
      <c r="U3" s="58"/>
    </row>
    <row r="4" spans="1:21" ht="17.25" customHeight="1" x14ac:dyDescent="0.25">
      <c r="A4" s="58"/>
      <c r="B4" s="15" t="s">
        <v>26</v>
      </c>
      <c r="C4" s="15" t="s">
        <v>27</v>
      </c>
      <c r="D4" s="15" t="s">
        <v>28</v>
      </c>
      <c r="E4" s="15">
        <v>4</v>
      </c>
      <c r="F4" s="15">
        <v>128</v>
      </c>
      <c r="G4" s="15">
        <v>4</v>
      </c>
      <c r="H4" s="16">
        <v>25</v>
      </c>
      <c r="I4" s="16">
        <v>68</v>
      </c>
      <c r="J4" s="15" t="s">
        <v>29</v>
      </c>
      <c r="K4" s="57"/>
      <c r="L4" s="17" t="s">
        <v>36</v>
      </c>
      <c r="M4" s="17" t="s">
        <v>127</v>
      </c>
      <c r="N4" s="57"/>
      <c r="O4" s="116" t="s">
        <v>173</v>
      </c>
      <c r="P4" s="116"/>
      <c r="Q4" s="116"/>
      <c r="R4" s="116"/>
      <c r="S4" s="116"/>
      <c r="T4" s="116"/>
      <c r="U4" s="58"/>
    </row>
    <row r="5" spans="1:21" ht="15.75" customHeight="1" x14ac:dyDescent="0.25">
      <c r="A5" s="58"/>
      <c r="B5" s="15" t="s">
        <v>30</v>
      </c>
      <c r="C5" s="15" t="s">
        <v>31</v>
      </c>
      <c r="D5" s="15" t="s">
        <v>32</v>
      </c>
      <c r="E5" s="15">
        <v>2</v>
      </c>
      <c r="F5" s="15">
        <v>81</v>
      </c>
      <c r="G5" s="15">
        <v>4</v>
      </c>
      <c r="H5" s="16">
        <v>24</v>
      </c>
      <c r="I5" s="16">
        <v>85</v>
      </c>
      <c r="J5" s="15" t="s">
        <v>29</v>
      </c>
      <c r="K5" s="57"/>
      <c r="L5" s="18" t="s">
        <v>27</v>
      </c>
      <c r="M5" s="18"/>
      <c r="N5" s="57"/>
      <c r="O5" s="116" t="s">
        <v>174</v>
      </c>
      <c r="P5" s="116"/>
      <c r="Q5" s="116"/>
      <c r="R5" s="116"/>
      <c r="S5" s="116"/>
      <c r="T5" s="116"/>
      <c r="U5" s="58"/>
    </row>
    <row r="6" spans="1:21" ht="18" customHeight="1" x14ac:dyDescent="0.25">
      <c r="A6" s="58"/>
      <c r="B6" s="15" t="s">
        <v>33</v>
      </c>
      <c r="C6" s="15" t="s">
        <v>34</v>
      </c>
      <c r="D6" s="15" t="s">
        <v>35</v>
      </c>
      <c r="E6" s="15">
        <v>5</v>
      </c>
      <c r="F6" s="15">
        <v>116</v>
      </c>
      <c r="G6" s="15">
        <v>1</v>
      </c>
      <c r="H6" s="16">
        <v>24</v>
      </c>
      <c r="I6" s="16">
        <v>37</v>
      </c>
      <c r="J6" s="15" t="s">
        <v>29</v>
      </c>
      <c r="K6" s="57"/>
      <c r="L6" s="18" t="s">
        <v>43</v>
      </c>
      <c r="M6" s="18"/>
      <c r="N6" s="57"/>
      <c r="O6" s="116" t="s">
        <v>175</v>
      </c>
      <c r="P6" s="116"/>
      <c r="Q6" s="116"/>
      <c r="R6" s="116"/>
      <c r="S6" s="116"/>
      <c r="T6" s="116"/>
      <c r="U6" s="58"/>
    </row>
    <row r="7" spans="1:21" x14ac:dyDescent="0.25">
      <c r="A7" s="58"/>
      <c r="B7" s="15" t="s">
        <v>37</v>
      </c>
      <c r="C7" s="15" t="s">
        <v>38</v>
      </c>
      <c r="D7" s="15" t="s">
        <v>39</v>
      </c>
      <c r="E7" s="15">
        <v>3</v>
      </c>
      <c r="F7" s="15">
        <v>77</v>
      </c>
      <c r="G7" s="15">
        <v>5</v>
      </c>
      <c r="H7" s="16">
        <v>10</v>
      </c>
      <c r="I7" s="16">
        <v>71</v>
      </c>
      <c r="J7" s="15" t="s">
        <v>40</v>
      </c>
      <c r="K7" s="57"/>
      <c r="L7" s="18" t="s">
        <v>46</v>
      </c>
      <c r="M7" s="18"/>
      <c r="N7" s="57"/>
      <c r="O7" s="57"/>
      <c r="P7" s="57"/>
      <c r="Q7" s="58"/>
      <c r="R7" s="58"/>
      <c r="S7" s="58"/>
      <c r="T7" s="58"/>
      <c r="U7" s="58"/>
    </row>
    <row r="8" spans="1:21" x14ac:dyDescent="0.25">
      <c r="A8" s="58"/>
      <c r="B8" s="15" t="s">
        <v>41</v>
      </c>
      <c r="C8" s="15" t="s">
        <v>42</v>
      </c>
      <c r="D8" s="15" t="s">
        <v>39</v>
      </c>
      <c r="E8" s="15">
        <v>4</v>
      </c>
      <c r="F8" s="15">
        <v>135</v>
      </c>
      <c r="G8" s="15">
        <v>5</v>
      </c>
      <c r="H8" s="16">
        <v>22</v>
      </c>
      <c r="I8" s="16">
        <v>83</v>
      </c>
      <c r="J8" s="15" t="s">
        <v>40</v>
      </c>
      <c r="K8" s="57"/>
      <c r="L8" s="18" t="s">
        <v>58</v>
      </c>
      <c r="M8" s="18"/>
      <c r="N8" s="57"/>
      <c r="O8" s="20"/>
      <c r="P8" s="20"/>
    </row>
    <row r="9" spans="1:21" x14ac:dyDescent="0.25">
      <c r="A9" s="58"/>
      <c r="B9" s="15" t="s">
        <v>44</v>
      </c>
      <c r="C9" s="15" t="s">
        <v>45</v>
      </c>
      <c r="D9" s="15" t="s">
        <v>39</v>
      </c>
      <c r="E9" s="15">
        <v>2</v>
      </c>
      <c r="F9" s="15">
        <v>39</v>
      </c>
      <c r="G9" s="15">
        <v>1</v>
      </c>
      <c r="H9" s="16">
        <v>23</v>
      </c>
      <c r="I9" s="16">
        <v>95</v>
      </c>
      <c r="J9" s="15" t="s">
        <v>29</v>
      </c>
      <c r="K9" s="57"/>
      <c r="L9" s="18" t="s">
        <v>51</v>
      </c>
      <c r="M9" s="18"/>
      <c r="N9" s="57"/>
      <c r="O9" s="20"/>
      <c r="P9" s="20"/>
    </row>
    <row r="10" spans="1:21" x14ac:dyDescent="0.25">
      <c r="A10" s="58"/>
      <c r="B10" s="15" t="s">
        <v>47</v>
      </c>
      <c r="C10" s="15" t="s">
        <v>48</v>
      </c>
      <c r="D10" s="15" t="s">
        <v>49</v>
      </c>
      <c r="E10" s="15">
        <v>2</v>
      </c>
      <c r="F10" s="15">
        <v>172</v>
      </c>
      <c r="G10" s="15">
        <v>5</v>
      </c>
      <c r="H10" s="16">
        <v>13</v>
      </c>
      <c r="I10" s="16">
        <v>44</v>
      </c>
      <c r="J10" s="15" t="s">
        <v>29</v>
      </c>
      <c r="K10" s="57"/>
      <c r="N10" s="57"/>
      <c r="O10" s="20"/>
      <c r="P10" s="20"/>
    </row>
    <row r="11" spans="1:21" ht="18.75" x14ac:dyDescent="0.3">
      <c r="A11" s="58"/>
      <c r="B11" s="15" t="s">
        <v>50</v>
      </c>
      <c r="C11" s="15" t="s">
        <v>51</v>
      </c>
      <c r="D11" s="15" t="s">
        <v>52</v>
      </c>
      <c r="E11" s="15">
        <v>3</v>
      </c>
      <c r="F11" s="15">
        <v>186</v>
      </c>
      <c r="G11" s="15">
        <v>5</v>
      </c>
      <c r="H11" s="16">
        <v>14</v>
      </c>
      <c r="I11" s="16">
        <v>39</v>
      </c>
      <c r="J11" s="15" t="s">
        <v>29</v>
      </c>
      <c r="K11" s="57" t="s">
        <v>0</v>
      </c>
      <c r="L11" s="113" t="s">
        <v>170</v>
      </c>
      <c r="M11" s="114"/>
      <c r="N11" s="57"/>
      <c r="O11" s="20"/>
      <c r="P11" s="20"/>
    </row>
    <row r="12" spans="1:21" x14ac:dyDescent="0.25">
      <c r="A12" s="58"/>
      <c r="B12" s="15" t="s">
        <v>37</v>
      </c>
      <c r="C12" s="15" t="s">
        <v>53</v>
      </c>
      <c r="D12" s="15" t="s">
        <v>54</v>
      </c>
      <c r="E12" s="15">
        <v>2</v>
      </c>
      <c r="F12" s="15">
        <v>167</v>
      </c>
      <c r="G12" s="15">
        <v>1</v>
      </c>
      <c r="H12" s="16">
        <v>19</v>
      </c>
      <c r="I12" s="16">
        <v>84</v>
      </c>
      <c r="J12" s="15" t="s">
        <v>29</v>
      </c>
      <c r="K12" s="57"/>
      <c r="L12" s="17" t="s">
        <v>55</v>
      </c>
      <c r="M12" s="19" t="s">
        <v>128</v>
      </c>
      <c r="N12" s="58"/>
      <c r="O12" s="20"/>
      <c r="P12" s="20"/>
    </row>
    <row r="13" spans="1:21" x14ac:dyDescent="0.25">
      <c r="A13" s="58"/>
      <c r="B13" s="15" t="s">
        <v>56</v>
      </c>
      <c r="C13" s="15" t="s">
        <v>46</v>
      </c>
      <c r="D13" s="15" t="s">
        <v>54</v>
      </c>
      <c r="E13" s="15">
        <v>2</v>
      </c>
      <c r="F13" s="15">
        <v>123</v>
      </c>
      <c r="G13" s="15">
        <v>5</v>
      </c>
      <c r="H13" s="16">
        <v>21</v>
      </c>
      <c r="I13" s="16">
        <v>59</v>
      </c>
      <c r="J13" s="15" t="s">
        <v>29</v>
      </c>
      <c r="K13" s="57"/>
      <c r="L13" s="18">
        <v>4</v>
      </c>
      <c r="M13" s="18"/>
      <c r="N13" s="58"/>
      <c r="O13" s="20"/>
      <c r="P13" s="20"/>
    </row>
    <row r="14" spans="1:21" x14ac:dyDescent="0.25">
      <c r="A14" s="58"/>
      <c r="B14" s="15" t="s">
        <v>57</v>
      </c>
      <c r="C14" s="15" t="s">
        <v>58</v>
      </c>
      <c r="D14" s="15" t="s">
        <v>54</v>
      </c>
      <c r="E14" s="15">
        <v>1</v>
      </c>
      <c r="F14" s="15">
        <v>141</v>
      </c>
      <c r="G14" s="15">
        <v>2</v>
      </c>
      <c r="H14" s="16">
        <v>22</v>
      </c>
      <c r="I14" s="16">
        <v>51</v>
      </c>
      <c r="J14" s="15" t="s">
        <v>29</v>
      </c>
      <c r="K14" s="57"/>
      <c r="L14" s="18">
        <v>3</v>
      </c>
      <c r="M14" s="18"/>
      <c r="N14" s="58"/>
      <c r="O14" s="20"/>
      <c r="P14" s="20"/>
    </row>
    <row r="15" spans="1:21" x14ac:dyDescent="0.25">
      <c r="A15" s="58"/>
      <c r="B15" s="15" t="s">
        <v>59</v>
      </c>
      <c r="C15" s="15" t="s">
        <v>60</v>
      </c>
      <c r="D15" s="15" t="s">
        <v>61</v>
      </c>
      <c r="E15" s="15">
        <v>3</v>
      </c>
      <c r="F15" s="15">
        <v>164</v>
      </c>
      <c r="G15" s="15">
        <v>2</v>
      </c>
      <c r="H15" s="16">
        <v>17</v>
      </c>
      <c r="I15" s="16">
        <v>46</v>
      </c>
      <c r="J15" s="15" t="s">
        <v>29</v>
      </c>
      <c r="K15" s="57"/>
      <c r="L15" s="18">
        <v>5</v>
      </c>
      <c r="M15" s="18"/>
      <c r="N15" s="58"/>
      <c r="O15" s="20"/>
      <c r="P15" s="20"/>
    </row>
    <row r="16" spans="1:21" x14ac:dyDescent="0.25">
      <c r="A16" s="58"/>
      <c r="B16" s="15" t="s">
        <v>62</v>
      </c>
      <c r="C16" s="15" t="s">
        <v>63</v>
      </c>
      <c r="D16" s="15" t="s">
        <v>64</v>
      </c>
      <c r="E16" s="15">
        <v>3</v>
      </c>
      <c r="F16" s="15">
        <v>199</v>
      </c>
      <c r="G16" s="15">
        <v>4</v>
      </c>
      <c r="H16" s="16">
        <v>19</v>
      </c>
      <c r="I16" s="16">
        <v>99</v>
      </c>
      <c r="J16" s="15" t="s">
        <v>40</v>
      </c>
      <c r="K16" s="57"/>
      <c r="L16" s="18">
        <v>2</v>
      </c>
      <c r="M16" s="18"/>
      <c r="N16" s="57"/>
      <c r="O16" s="20"/>
      <c r="P16" s="20"/>
    </row>
    <row r="17" spans="1:16" x14ac:dyDescent="0.25">
      <c r="A17" s="58"/>
      <c r="B17" s="15" t="s">
        <v>65</v>
      </c>
      <c r="C17" s="15" t="s">
        <v>66</v>
      </c>
      <c r="D17" s="15" t="s">
        <v>64</v>
      </c>
      <c r="E17" s="15">
        <v>2</v>
      </c>
      <c r="F17" s="15">
        <v>166</v>
      </c>
      <c r="G17" s="15">
        <v>2</v>
      </c>
      <c r="H17" s="16">
        <v>13</v>
      </c>
      <c r="I17" s="16">
        <v>44</v>
      </c>
      <c r="J17" s="15" t="s">
        <v>29</v>
      </c>
      <c r="K17" s="57"/>
      <c r="L17" s="18">
        <v>1</v>
      </c>
      <c r="M17" s="18"/>
      <c r="N17" s="57"/>
      <c r="O17" s="20"/>
      <c r="P17" s="20"/>
    </row>
    <row r="18" spans="1:16" x14ac:dyDescent="0.25">
      <c r="A18" s="58"/>
      <c r="B18" s="15" t="s">
        <v>67</v>
      </c>
      <c r="C18" s="15" t="s">
        <v>68</v>
      </c>
      <c r="D18" s="15" t="s">
        <v>69</v>
      </c>
      <c r="E18" s="15">
        <v>3</v>
      </c>
      <c r="F18" s="15">
        <v>145</v>
      </c>
      <c r="G18" s="15">
        <v>5</v>
      </c>
      <c r="H18" s="16">
        <v>20</v>
      </c>
      <c r="I18" s="16">
        <v>83</v>
      </c>
      <c r="J18" s="15" t="s">
        <v>40</v>
      </c>
      <c r="K18" s="57"/>
      <c r="N18" s="58"/>
      <c r="P18" s="20"/>
    </row>
    <row r="19" spans="1:16" ht="18.75" x14ac:dyDescent="0.3">
      <c r="A19" s="58"/>
      <c r="B19" s="15" t="s">
        <v>71</v>
      </c>
      <c r="C19" s="15" t="s">
        <v>72</v>
      </c>
      <c r="D19" s="15" t="s">
        <v>69</v>
      </c>
      <c r="E19" s="15">
        <v>3</v>
      </c>
      <c r="F19" s="15">
        <v>79</v>
      </c>
      <c r="G19" s="15">
        <v>3</v>
      </c>
      <c r="H19" s="16">
        <v>12</v>
      </c>
      <c r="I19" s="16">
        <v>83</v>
      </c>
      <c r="J19" s="15" t="s">
        <v>40</v>
      </c>
      <c r="K19" s="57"/>
      <c r="L19" s="113" t="s">
        <v>169</v>
      </c>
      <c r="M19" s="114"/>
      <c r="N19" s="58"/>
      <c r="P19" s="20"/>
    </row>
    <row r="20" spans="1:16" x14ac:dyDescent="0.25">
      <c r="A20" s="58"/>
      <c r="B20" s="15" t="s">
        <v>73</v>
      </c>
      <c r="C20" s="15" t="s">
        <v>27</v>
      </c>
      <c r="D20" s="15" t="s">
        <v>69</v>
      </c>
      <c r="E20" s="15">
        <v>5</v>
      </c>
      <c r="F20" s="15">
        <v>62</v>
      </c>
      <c r="G20" s="15">
        <v>1</v>
      </c>
      <c r="H20" s="16">
        <v>24</v>
      </c>
      <c r="I20" s="16">
        <v>74</v>
      </c>
      <c r="J20" s="15" t="s">
        <v>40</v>
      </c>
      <c r="K20" s="57"/>
      <c r="L20" s="17" t="s">
        <v>70</v>
      </c>
      <c r="M20" s="19" t="s">
        <v>128</v>
      </c>
      <c r="N20" s="58"/>
      <c r="P20" s="20"/>
    </row>
    <row r="21" spans="1:16" x14ac:dyDescent="0.25">
      <c r="A21" s="58"/>
      <c r="B21" s="15" t="s">
        <v>75</v>
      </c>
      <c r="C21" s="15" t="s">
        <v>27</v>
      </c>
      <c r="D21" s="15" t="s">
        <v>64</v>
      </c>
      <c r="E21" s="15">
        <v>5</v>
      </c>
      <c r="F21" s="15">
        <v>75</v>
      </c>
      <c r="G21" s="15">
        <v>3</v>
      </c>
      <c r="H21" s="16">
        <v>20</v>
      </c>
      <c r="I21" s="16">
        <v>40</v>
      </c>
      <c r="J21" s="15" t="s">
        <v>29</v>
      </c>
      <c r="K21" s="57"/>
      <c r="L21" s="18" t="s">
        <v>69</v>
      </c>
      <c r="M21" s="18"/>
      <c r="N21" s="58"/>
      <c r="O21" s="20"/>
      <c r="P21" s="20"/>
    </row>
    <row r="22" spans="1:16" x14ac:dyDescent="0.25">
      <c r="A22" s="58"/>
      <c r="B22" s="15" t="s">
        <v>76</v>
      </c>
      <c r="C22" s="15" t="s">
        <v>77</v>
      </c>
      <c r="D22" s="15" t="s">
        <v>69</v>
      </c>
      <c r="E22" s="15">
        <v>1</v>
      </c>
      <c r="F22" s="15">
        <v>57</v>
      </c>
      <c r="G22" s="15">
        <v>4</v>
      </c>
      <c r="H22" s="16">
        <v>15</v>
      </c>
      <c r="I22" s="16">
        <v>57</v>
      </c>
      <c r="J22" s="15" t="s">
        <v>29</v>
      </c>
      <c r="K22" s="57"/>
      <c r="L22" s="36" t="s">
        <v>54</v>
      </c>
      <c r="M22" s="18"/>
      <c r="N22" s="58"/>
      <c r="O22" s="20"/>
      <c r="P22" s="20"/>
    </row>
    <row r="23" spans="1:16" x14ac:dyDescent="0.25">
      <c r="A23" s="58"/>
      <c r="B23" s="15" t="s">
        <v>78</v>
      </c>
      <c r="C23" s="15" t="s">
        <v>79</v>
      </c>
      <c r="D23" s="15" t="s">
        <v>80</v>
      </c>
      <c r="E23" s="15">
        <v>4</v>
      </c>
      <c r="F23" s="15">
        <v>81</v>
      </c>
      <c r="G23" s="15">
        <v>4</v>
      </c>
      <c r="H23" s="16">
        <v>25</v>
      </c>
      <c r="I23" s="16">
        <v>68</v>
      </c>
      <c r="J23" s="15" t="s">
        <v>29</v>
      </c>
      <c r="K23" s="57"/>
      <c r="L23" s="36" t="s">
        <v>61</v>
      </c>
      <c r="M23" s="18"/>
      <c r="N23" s="58"/>
      <c r="O23" s="20"/>
      <c r="P23" s="20"/>
    </row>
    <row r="24" spans="1:16" x14ac:dyDescent="0.25">
      <c r="A24" s="58"/>
      <c r="B24" s="15" t="s">
        <v>81</v>
      </c>
      <c r="C24" s="15" t="s">
        <v>51</v>
      </c>
      <c r="D24" s="15" t="s">
        <v>52</v>
      </c>
      <c r="E24" s="15">
        <v>4</v>
      </c>
      <c r="F24" s="15">
        <v>186</v>
      </c>
      <c r="G24" s="15">
        <v>4</v>
      </c>
      <c r="H24" s="16">
        <v>22.3333333333333</v>
      </c>
      <c r="I24" s="16">
        <v>85</v>
      </c>
      <c r="J24" s="15" t="s">
        <v>40</v>
      </c>
      <c r="K24" s="57"/>
      <c r="L24" s="36" t="s">
        <v>64</v>
      </c>
      <c r="M24" s="18"/>
      <c r="N24" s="58"/>
      <c r="O24" s="20"/>
      <c r="P24" s="20"/>
    </row>
    <row r="25" spans="1:16" x14ac:dyDescent="0.25">
      <c r="A25" s="58"/>
      <c r="B25" s="15" t="s">
        <v>82</v>
      </c>
      <c r="C25" s="15" t="s">
        <v>53</v>
      </c>
      <c r="D25" s="15" t="s">
        <v>54</v>
      </c>
      <c r="E25" s="15">
        <v>2</v>
      </c>
      <c r="F25" s="15">
        <v>167</v>
      </c>
      <c r="G25" s="15">
        <v>2</v>
      </c>
      <c r="H25" s="16">
        <v>23.1904761904762</v>
      </c>
      <c r="I25" s="16">
        <v>37</v>
      </c>
      <c r="J25" s="15" t="s">
        <v>40</v>
      </c>
      <c r="K25" s="57"/>
      <c r="L25" s="36" t="s">
        <v>80</v>
      </c>
      <c r="M25" s="18"/>
      <c r="N25" s="58"/>
      <c r="O25" s="20"/>
      <c r="P25" s="20"/>
    </row>
    <row r="26" spans="1:16" x14ac:dyDescent="0.25">
      <c r="A26" s="58"/>
      <c r="B26" s="15" t="s">
        <v>83</v>
      </c>
      <c r="C26" s="15" t="s">
        <v>27</v>
      </c>
      <c r="D26" s="15" t="s">
        <v>54</v>
      </c>
      <c r="E26" s="15">
        <v>5</v>
      </c>
      <c r="F26" s="15">
        <v>123</v>
      </c>
      <c r="G26" s="15">
        <v>5</v>
      </c>
      <c r="H26" s="16">
        <v>24.047619047619101</v>
      </c>
      <c r="I26" s="16">
        <v>71</v>
      </c>
      <c r="J26" s="15" t="s">
        <v>40</v>
      </c>
      <c r="K26" s="57"/>
      <c r="L26" s="36" t="s">
        <v>52</v>
      </c>
      <c r="M26" s="18"/>
      <c r="N26" s="58"/>
      <c r="O26" s="20"/>
      <c r="P26" s="20"/>
    </row>
    <row r="27" spans="1:16" x14ac:dyDescent="0.25">
      <c r="A27" s="58"/>
      <c r="B27" s="15" t="s">
        <v>84</v>
      </c>
      <c r="C27" s="15" t="s">
        <v>58</v>
      </c>
      <c r="D27" s="15" t="s">
        <v>54</v>
      </c>
      <c r="E27" s="15">
        <v>3</v>
      </c>
      <c r="F27" s="15">
        <v>141</v>
      </c>
      <c r="G27" s="15">
        <v>3</v>
      </c>
      <c r="H27" s="16">
        <v>24.904761904761902</v>
      </c>
      <c r="I27" s="16">
        <v>83</v>
      </c>
      <c r="J27" s="15" t="s">
        <v>29</v>
      </c>
      <c r="K27" s="57"/>
      <c r="L27" s="36" t="s">
        <v>49</v>
      </c>
      <c r="M27" s="18"/>
      <c r="N27" s="58"/>
      <c r="O27" s="20"/>
      <c r="P27" s="20"/>
    </row>
    <row r="28" spans="1:16" x14ac:dyDescent="0.25">
      <c r="A28" s="58"/>
      <c r="B28" s="15" t="s">
        <v>85</v>
      </c>
      <c r="C28" s="15" t="s">
        <v>60</v>
      </c>
      <c r="D28" s="15" t="s">
        <v>61</v>
      </c>
      <c r="E28" s="15">
        <v>4</v>
      </c>
      <c r="F28" s="15">
        <v>164</v>
      </c>
      <c r="G28" s="15">
        <v>1</v>
      </c>
      <c r="H28" s="16">
        <v>25.761904761904798</v>
      </c>
      <c r="I28" s="16">
        <v>95</v>
      </c>
      <c r="J28" s="15" t="s">
        <v>29</v>
      </c>
      <c r="K28" s="57"/>
      <c r="L28" s="36" t="s">
        <v>35</v>
      </c>
      <c r="M28" s="18"/>
      <c r="N28" s="58"/>
      <c r="O28" s="20"/>
      <c r="P28" s="20"/>
    </row>
    <row r="29" spans="1:16" x14ac:dyDescent="0.25">
      <c r="A29" s="58"/>
      <c r="B29" s="15" t="s">
        <v>86</v>
      </c>
      <c r="C29" s="15" t="s">
        <v>63</v>
      </c>
      <c r="D29" s="15" t="s">
        <v>64</v>
      </c>
      <c r="E29" s="15">
        <v>2</v>
      </c>
      <c r="F29" s="15">
        <v>199</v>
      </c>
      <c r="G29" s="15">
        <v>3</v>
      </c>
      <c r="H29" s="16">
        <v>26.619047619047599</v>
      </c>
      <c r="I29" s="16">
        <v>44</v>
      </c>
      <c r="J29" s="15" t="s">
        <v>29</v>
      </c>
      <c r="K29" s="57"/>
      <c r="L29" s="36" t="s">
        <v>32</v>
      </c>
      <c r="M29" s="18"/>
      <c r="N29" s="58"/>
      <c r="O29" s="20"/>
      <c r="P29" s="20"/>
    </row>
    <row r="30" spans="1:16" x14ac:dyDescent="0.25">
      <c r="A30" s="58"/>
      <c r="B30" s="15" t="s">
        <v>87</v>
      </c>
      <c r="C30" s="15" t="s">
        <v>66</v>
      </c>
      <c r="D30" s="15" t="s">
        <v>64</v>
      </c>
      <c r="E30" s="15">
        <v>2</v>
      </c>
      <c r="F30" s="15">
        <v>166</v>
      </c>
      <c r="G30" s="15">
        <v>4</v>
      </c>
      <c r="H30" s="16">
        <v>27.476190476190499</v>
      </c>
      <c r="I30" s="16">
        <v>39</v>
      </c>
      <c r="J30" s="15" t="s">
        <v>40</v>
      </c>
      <c r="K30" s="57"/>
      <c r="N30" s="58"/>
      <c r="O30" s="20"/>
      <c r="P30" s="20"/>
    </row>
    <row r="31" spans="1:16" ht="18.75" x14ac:dyDescent="0.3">
      <c r="A31" s="58"/>
      <c r="B31" s="15" t="s">
        <v>88</v>
      </c>
      <c r="C31" s="15" t="s">
        <v>68</v>
      </c>
      <c r="D31" s="15" t="s">
        <v>69</v>
      </c>
      <c r="E31" s="15">
        <v>3</v>
      </c>
      <c r="F31" s="15">
        <v>145</v>
      </c>
      <c r="G31" s="15">
        <v>4</v>
      </c>
      <c r="H31" s="16">
        <v>28.3333333333333</v>
      </c>
      <c r="I31" s="16">
        <v>84</v>
      </c>
      <c r="J31" s="15" t="s">
        <v>40</v>
      </c>
      <c r="K31" s="57"/>
      <c r="L31" s="113" t="s">
        <v>168</v>
      </c>
      <c r="M31" s="114"/>
      <c r="N31" s="57"/>
      <c r="O31" s="20"/>
      <c r="P31" s="20"/>
    </row>
    <row r="32" spans="1:16" x14ac:dyDescent="0.25">
      <c r="A32" s="58"/>
      <c r="B32" s="15" t="s">
        <v>89</v>
      </c>
      <c r="C32" s="15" t="s">
        <v>72</v>
      </c>
      <c r="D32" s="15" t="s">
        <v>69</v>
      </c>
      <c r="E32" s="15">
        <v>2</v>
      </c>
      <c r="F32" s="15">
        <v>79</v>
      </c>
      <c r="G32" s="15">
        <v>4</v>
      </c>
      <c r="H32" s="16">
        <v>29.1904761904762</v>
      </c>
      <c r="I32" s="16">
        <v>59</v>
      </c>
      <c r="J32" s="15" t="s">
        <v>40</v>
      </c>
      <c r="K32" s="57"/>
      <c r="L32" s="19" t="s">
        <v>129</v>
      </c>
      <c r="M32" s="19" t="s">
        <v>128</v>
      </c>
      <c r="N32" s="57"/>
      <c r="O32" s="20"/>
      <c r="P32" s="20"/>
    </row>
    <row r="33" spans="1:16" x14ac:dyDescent="0.25">
      <c r="A33" s="58"/>
      <c r="B33" s="15" t="s">
        <v>90</v>
      </c>
      <c r="C33" s="15" t="s">
        <v>74</v>
      </c>
      <c r="D33" s="15" t="s">
        <v>69</v>
      </c>
      <c r="E33" s="15">
        <v>2</v>
      </c>
      <c r="F33" s="15">
        <v>62</v>
      </c>
      <c r="G33" s="15">
        <v>4</v>
      </c>
      <c r="H33" s="16">
        <v>30.047619047619101</v>
      </c>
      <c r="I33" s="16">
        <v>51</v>
      </c>
      <c r="J33" s="15" t="s">
        <v>29</v>
      </c>
      <c r="K33" s="57"/>
      <c r="L33" s="18">
        <v>1</v>
      </c>
      <c r="M33" s="18"/>
      <c r="N33" s="57"/>
      <c r="O33" s="20"/>
      <c r="P33" s="20"/>
    </row>
    <row r="34" spans="1:16" x14ac:dyDescent="0.25">
      <c r="A34" s="58"/>
      <c r="B34" s="15" t="s">
        <v>91</v>
      </c>
      <c r="C34" s="15" t="s">
        <v>43</v>
      </c>
      <c r="D34" s="15" t="s">
        <v>64</v>
      </c>
      <c r="E34" s="15">
        <v>1</v>
      </c>
      <c r="F34" s="15">
        <v>75</v>
      </c>
      <c r="G34" s="15">
        <v>1</v>
      </c>
      <c r="H34" s="16">
        <v>30.904761904761902</v>
      </c>
      <c r="I34" s="16">
        <v>46</v>
      </c>
      <c r="J34" s="15" t="s">
        <v>29</v>
      </c>
      <c r="K34" s="57"/>
      <c r="L34" s="18">
        <v>2</v>
      </c>
      <c r="M34" s="18"/>
      <c r="N34" s="57"/>
      <c r="O34" s="20"/>
      <c r="P34" s="20"/>
    </row>
    <row r="35" spans="1:16" x14ac:dyDescent="0.25">
      <c r="A35" s="58"/>
      <c r="B35" s="15" t="s">
        <v>92</v>
      </c>
      <c r="C35" s="15" t="s">
        <v>77</v>
      </c>
      <c r="D35" s="15" t="s">
        <v>69</v>
      </c>
      <c r="E35" s="15">
        <v>3</v>
      </c>
      <c r="F35" s="15">
        <v>57</v>
      </c>
      <c r="G35" s="15">
        <v>5</v>
      </c>
      <c r="H35" s="16">
        <v>31.761904761904798</v>
      </c>
      <c r="I35" s="16">
        <v>99</v>
      </c>
      <c r="J35" s="15" t="s">
        <v>29</v>
      </c>
      <c r="K35" s="57"/>
      <c r="L35" s="18">
        <v>3</v>
      </c>
      <c r="M35" s="18"/>
      <c r="N35" s="57"/>
      <c r="O35" s="20"/>
      <c r="P35" s="20"/>
    </row>
    <row r="36" spans="1:16" x14ac:dyDescent="0.25">
      <c r="A36" s="58"/>
      <c r="B36" s="15" t="s">
        <v>93</v>
      </c>
      <c r="C36" s="15" t="s">
        <v>79</v>
      </c>
      <c r="D36" s="15" t="s">
        <v>80</v>
      </c>
      <c r="E36" s="15">
        <v>3</v>
      </c>
      <c r="F36" s="15">
        <v>81</v>
      </c>
      <c r="G36" s="15">
        <v>5</v>
      </c>
      <c r="H36" s="16">
        <v>32.619047619047599</v>
      </c>
      <c r="I36" s="16">
        <v>44</v>
      </c>
      <c r="J36" s="15" t="s">
        <v>40</v>
      </c>
      <c r="K36" s="57"/>
      <c r="L36" s="18">
        <v>4</v>
      </c>
      <c r="M36" s="18"/>
      <c r="N36" s="57"/>
      <c r="O36" s="20"/>
      <c r="P36" s="20"/>
    </row>
    <row r="37" spans="1:16" x14ac:dyDescent="0.25">
      <c r="A37" s="58"/>
      <c r="B37" s="15" t="s">
        <v>94</v>
      </c>
      <c r="C37" s="15" t="s">
        <v>34</v>
      </c>
      <c r="D37" s="15" t="s">
        <v>35</v>
      </c>
      <c r="E37" s="15">
        <v>2</v>
      </c>
      <c r="F37" s="15">
        <v>128</v>
      </c>
      <c r="G37" s="15">
        <v>1</v>
      </c>
      <c r="H37" s="16">
        <v>33.476190476190503</v>
      </c>
      <c r="I37" s="16">
        <v>83</v>
      </c>
      <c r="J37" s="15" t="s">
        <v>40</v>
      </c>
      <c r="K37" s="57"/>
      <c r="L37" s="18">
        <v>5</v>
      </c>
      <c r="M37" s="18"/>
      <c r="N37" s="57"/>
      <c r="O37" s="20"/>
      <c r="P37" s="20"/>
    </row>
    <row r="38" spans="1:16" x14ac:dyDescent="0.25">
      <c r="A38" s="58"/>
      <c r="B38" s="15" t="s">
        <v>95</v>
      </c>
      <c r="C38" s="15" t="s">
        <v>38</v>
      </c>
      <c r="D38" s="15" t="s">
        <v>39</v>
      </c>
      <c r="E38" s="15">
        <v>4</v>
      </c>
      <c r="F38" s="15">
        <v>81</v>
      </c>
      <c r="G38" s="15">
        <v>5</v>
      </c>
      <c r="H38" s="16">
        <v>34.3333333333333</v>
      </c>
      <c r="I38" s="16">
        <v>83</v>
      </c>
      <c r="J38" s="15" t="s">
        <v>40</v>
      </c>
      <c r="K38" s="57"/>
      <c r="L38" s="58"/>
      <c r="M38" s="58"/>
      <c r="N38" s="57"/>
      <c r="O38" s="20"/>
      <c r="P38" s="20"/>
    </row>
    <row r="39" spans="1:16" x14ac:dyDescent="0.25">
      <c r="A39" s="58"/>
      <c r="B39" s="15" t="s">
        <v>96</v>
      </c>
      <c r="C39" s="15" t="s">
        <v>42</v>
      </c>
      <c r="D39" s="15" t="s">
        <v>39</v>
      </c>
      <c r="E39" s="15">
        <v>3</v>
      </c>
      <c r="F39" s="15">
        <v>116</v>
      </c>
      <c r="G39" s="15">
        <v>5</v>
      </c>
      <c r="H39" s="16">
        <v>35.190476190476197</v>
      </c>
      <c r="I39" s="16">
        <v>74</v>
      </c>
      <c r="J39" s="15" t="s">
        <v>29</v>
      </c>
      <c r="K39" s="57"/>
      <c r="N39" s="20"/>
      <c r="O39" s="20"/>
      <c r="P39" s="20"/>
    </row>
    <row r="40" spans="1:16" x14ac:dyDescent="0.25">
      <c r="A40" s="58"/>
      <c r="B40" s="15" t="s">
        <v>97</v>
      </c>
      <c r="C40" s="15" t="s">
        <v>45</v>
      </c>
      <c r="D40" s="15" t="s">
        <v>39</v>
      </c>
      <c r="E40" s="15">
        <v>5</v>
      </c>
      <c r="F40" s="15">
        <v>77</v>
      </c>
      <c r="G40" s="15">
        <v>1</v>
      </c>
      <c r="H40" s="16">
        <v>36.047619047619101</v>
      </c>
      <c r="I40" s="16">
        <v>40</v>
      </c>
      <c r="J40" s="15" t="s">
        <v>29</v>
      </c>
      <c r="K40" s="57"/>
      <c r="M40" s="20"/>
      <c r="N40" s="20"/>
      <c r="O40" s="20"/>
      <c r="P40" s="20"/>
    </row>
    <row r="41" spans="1:16" x14ac:dyDescent="0.25">
      <c r="A41" s="58"/>
      <c r="B41" s="15" t="s">
        <v>92</v>
      </c>
      <c r="C41" s="15" t="s">
        <v>48</v>
      </c>
      <c r="D41" s="15" t="s">
        <v>49</v>
      </c>
      <c r="E41" s="15">
        <v>4</v>
      </c>
      <c r="F41" s="15">
        <v>135</v>
      </c>
      <c r="G41" s="15">
        <v>5</v>
      </c>
      <c r="H41" s="16">
        <v>36.904761904761898</v>
      </c>
      <c r="I41" s="16">
        <v>57</v>
      </c>
      <c r="J41" s="15" t="s">
        <v>29</v>
      </c>
      <c r="K41" s="57"/>
      <c r="M41" s="20"/>
      <c r="N41" s="20"/>
      <c r="O41" s="20"/>
      <c r="P41" s="20"/>
    </row>
    <row r="42" spans="1:16" x14ac:dyDescent="0.25">
      <c r="A42" s="58"/>
      <c r="B42" s="15" t="s">
        <v>98</v>
      </c>
      <c r="C42" s="15" t="s">
        <v>51</v>
      </c>
      <c r="D42" s="15" t="s">
        <v>52</v>
      </c>
      <c r="E42" s="15">
        <v>1</v>
      </c>
      <c r="F42" s="15">
        <v>39</v>
      </c>
      <c r="G42" s="15">
        <v>2</v>
      </c>
      <c r="H42" s="16">
        <v>37.761904761904802</v>
      </c>
      <c r="I42" s="16">
        <v>45</v>
      </c>
      <c r="J42" s="15" t="s">
        <v>40</v>
      </c>
      <c r="K42" s="57"/>
      <c r="M42" s="20"/>
      <c r="N42" s="20"/>
      <c r="O42" s="20"/>
      <c r="P42" s="20"/>
    </row>
    <row r="43" spans="1:16" x14ac:dyDescent="0.25">
      <c r="A43" s="58"/>
      <c r="B43" s="15" t="s">
        <v>99</v>
      </c>
      <c r="C43" s="15" t="s">
        <v>53</v>
      </c>
      <c r="D43" s="15" t="s">
        <v>54</v>
      </c>
      <c r="E43" s="15">
        <v>4</v>
      </c>
      <c r="F43" s="15">
        <v>172</v>
      </c>
      <c r="G43" s="15">
        <v>2</v>
      </c>
      <c r="H43" s="16">
        <v>38.619047619047599</v>
      </c>
      <c r="I43" s="16">
        <v>33.466666666666598</v>
      </c>
      <c r="J43" s="15" t="s">
        <v>40</v>
      </c>
      <c r="K43" s="57"/>
      <c r="M43" s="20"/>
      <c r="N43" s="20"/>
      <c r="O43" s="20"/>
      <c r="P43" s="20"/>
    </row>
    <row r="44" spans="1:16" ht="10.5" customHeight="1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</row>
  </sheetData>
  <mergeCells count="10">
    <mergeCell ref="O3:T3"/>
    <mergeCell ref="O4:T4"/>
    <mergeCell ref="O5:T5"/>
    <mergeCell ref="O6:T6"/>
    <mergeCell ref="O2:T2"/>
    <mergeCell ref="L3:M3"/>
    <mergeCell ref="L11:M11"/>
    <mergeCell ref="L19:M19"/>
    <mergeCell ref="L31:M31"/>
    <mergeCell ref="B2:M2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&amp;C&amp;"Arial"&amp;8&amp;K000000INTERNAL&amp;1#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66"/>
  <sheetViews>
    <sheetView workbookViewId="0">
      <selection activeCell="D17" sqref="D17"/>
    </sheetView>
  </sheetViews>
  <sheetFormatPr defaultRowHeight="15" x14ac:dyDescent="0.25"/>
  <cols>
    <col min="1" max="1" width="9.85546875" style="11" bestFit="1" customWidth="1"/>
    <col min="2" max="2" width="22" style="11" bestFit="1" customWidth="1"/>
    <col min="3" max="3" width="11.85546875" style="64" bestFit="1" customWidth="1"/>
    <col min="4" max="4" width="10.5703125" style="11" bestFit="1" customWidth="1"/>
    <col min="5" max="5" width="11.42578125" style="64" bestFit="1" customWidth="1"/>
    <col min="6" max="6" width="9.7109375" style="11" customWidth="1"/>
    <col min="7" max="7" width="2" customWidth="1"/>
    <col min="8" max="8" width="21.42578125" customWidth="1"/>
    <col min="9" max="9" width="11.7109375" customWidth="1"/>
    <col min="10" max="10" width="1.42578125" customWidth="1"/>
    <col min="17" max="17" width="2" customWidth="1"/>
  </cols>
  <sheetData>
    <row r="1" spans="1:17" ht="21.75" thickBot="1" x14ac:dyDescent="0.4">
      <c r="A1" s="93" t="s">
        <v>176</v>
      </c>
      <c r="B1" s="94"/>
      <c r="C1" s="94"/>
      <c r="D1" s="94"/>
      <c r="E1" s="94"/>
      <c r="F1" s="94"/>
      <c r="G1" s="94"/>
      <c r="H1" s="94"/>
      <c r="I1" s="122"/>
      <c r="J1" s="60"/>
      <c r="K1" s="109" t="s">
        <v>134</v>
      </c>
      <c r="L1" s="109"/>
      <c r="M1" s="109"/>
      <c r="N1" s="109"/>
      <c r="O1" s="109"/>
      <c r="P1" s="109"/>
      <c r="Q1" s="60"/>
    </row>
    <row r="2" spans="1:17" ht="31.5" customHeight="1" x14ac:dyDescent="0.3">
      <c r="A2" s="21" t="s">
        <v>1</v>
      </c>
      <c r="B2" s="5" t="s">
        <v>182</v>
      </c>
      <c r="C2" s="62" t="s">
        <v>100</v>
      </c>
      <c r="D2" s="22" t="s">
        <v>101</v>
      </c>
      <c r="E2" s="62" t="s">
        <v>102</v>
      </c>
      <c r="F2" s="23" t="s">
        <v>103</v>
      </c>
      <c r="G2" s="59"/>
      <c r="H2" s="111" t="s">
        <v>167</v>
      </c>
      <c r="I2" s="112"/>
      <c r="J2" s="59"/>
      <c r="K2" s="116" t="s">
        <v>181</v>
      </c>
      <c r="L2" s="116"/>
      <c r="M2" s="116"/>
      <c r="N2" s="116"/>
      <c r="O2" s="116"/>
      <c r="P2" s="116"/>
      <c r="Q2" s="60"/>
    </row>
    <row r="3" spans="1:17" ht="15" customHeight="1" x14ac:dyDescent="0.25">
      <c r="A3" s="24" t="s">
        <v>107</v>
      </c>
      <c r="B3" s="25" t="s">
        <v>108</v>
      </c>
      <c r="C3" s="63">
        <v>41334</v>
      </c>
      <c r="D3" s="67">
        <v>527.29999999999995</v>
      </c>
      <c r="E3" s="63">
        <v>41336</v>
      </c>
      <c r="F3" s="25" t="s">
        <v>109</v>
      </c>
      <c r="G3" s="60"/>
      <c r="H3" s="119" t="s">
        <v>103</v>
      </c>
      <c r="I3" s="117" t="s">
        <v>177</v>
      </c>
      <c r="J3" s="60"/>
      <c r="K3" s="116" t="s">
        <v>183</v>
      </c>
      <c r="L3" s="116"/>
      <c r="M3" s="116"/>
      <c r="N3" s="116"/>
      <c r="O3" s="116"/>
      <c r="P3" s="116"/>
      <c r="Q3" s="60"/>
    </row>
    <row r="4" spans="1:17" ht="15" customHeight="1" x14ac:dyDescent="0.25">
      <c r="A4" s="26" t="s">
        <v>107</v>
      </c>
      <c r="B4" s="9" t="s">
        <v>108</v>
      </c>
      <c r="C4" s="65">
        <v>41334</v>
      </c>
      <c r="D4" s="67">
        <v>527.29999999999995</v>
      </c>
      <c r="E4" s="63">
        <v>41336</v>
      </c>
      <c r="F4" s="9" t="s">
        <v>109</v>
      </c>
      <c r="G4" s="60"/>
      <c r="H4" s="120"/>
      <c r="I4" s="118"/>
      <c r="J4" s="60"/>
      <c r="K4" s="116" t="s">
        <v>184</v>
      </c>
      <c r="L4" s="116"/>
      <c r="M4" s="116"/>
      <c r="N4" s="116"/>
      <c r="O4" s="116"/>
      <c r="P4" s="116"/>
      <c r="Q4" s="60"/>
    </row>
    <row r="5" spans="1:17" ht="15" customHeight="1" x14ac:dyDescent="0.25">
      <c r="A5" s="26" t="s">
        <v>107</v>
      </c>
      <c r="B5" s="9" t="s">
        <v>108</v>
      </c>
      <c r="C5" s="63">
        <v>41334</v>
      </c>
      <c r="D5" s="67">
        <v>527.29999999999995</v>
      </c>
      <c r="E5" s="63">
        <v>41336</v>
      </c>
      <c r="F5" s="9" t="s">
        <v>109</v>
      </c>
      <c r="G5" s="60"/>
      <c r="H5" s="29" t="s">
        <v>106</v>
      </c>
      <c r="I5" s="27"/>
      <c r="J5" s="60"/>
      <c r="K5" s="116" t="s">
        <v>185</v>
      </c>
      <c r="L5" s="116"/>
      <c r="M5" s="116"/>
      <c r="N5" s="116"/>
      <c r="O5" s="116"/>
      <c r="P5" s="116"/>
      <c r="Q5" s="60"/>
    </row>
    <row r="6" spans="1:17" ht="15" customHeight="1" x14ac:dyDescent="0.25">
      <c r="A6" s="9" t="s">
        <v>130</v>
      </c>
      <c r="B6" s="9" t="s">
        <v>108</v>
      </c>
      <c r="C6" s="65">
        <v>41334</v>
      </c>
      <c r="D6" s="67">
        <v>527.29999999999995</v>
      </c>
      <c r="E6" s="63">
        <v>41336</v>
      </c>
      <c r="F6" s="9" t="s">
        <v>109</v>
      </c>
      <c r="G6" s="60"/>
      <c r="H6" s="29" t="s">
        <v>109</v>
      </c>
      <c r="I6" s="27"/>
      <c r="J6" s="60"/>
      <c r="K6" s="116"/>
      <c r="L6" s="116"/>
      <c r="M6" s="116"/>
      <c r="N6" s="116"/>
      <c r="O6" s="116"/>
      <c r="P6" s="116"/>
      <c r="Q6" s="60"/>
    </row>
    <row r="7" spans="1:17" x14ac:dyDescent="0.25">
      <c r="A7" s="26" t="s">
        <v>107</v>
      </c>
      <c r="B7" s="9" t="s">
        <v>108</v>
      </c>
      <c r="C7" s="63">
        <v>41334</v>
      </c>
      <c r="D7" s="67">
        <v>527.29999999999995</v>
      </c>
      <c r="E7" s="63">
        <v>41336</v>
      </c>
      <c r="F7" s="9" t="s">
        <v>106</v>
      </c>
      <c r="G7" s="60"/>
      <c r="H7" s="29" t="s">
        <v>111</v>
      </c>
      <c r="I7" s="27"/>
      <c r="J7" s="60"/>
      <c r="K7" s="60"/>
      <c r="L7" s="60"/>
      <c r="M7" s="60"/>
      <c r="N7" s="60"/>
      <c r="O7" s="60"/>
      <c r="P7" s="60"/>
      <c r="Q7" s="60"/>
    </row>
    <row r="8" spans="1:17" x14ac:dyDescent="0.25">
      <c r="A8" s="26" t="s">
        <v>107</v>
      </c>
      <c r="B8" s="9" t="s">
        <v>108</v>
      </c>
      <c r="C8" s="65">
        <v>41334</v>
      </c>
      <c r="D8" s="67">
        <v>527.29999999999995</v>
      </c>
      <c r="E8" s="63">
        <v>41336</v>
      </c>
      <c r="F8" s="9" t="s">
        <v>106</v>
      </c>
      <c r="G8" s="60"/>
      <c r="H8" s="30" t="s">
        <v>114</v>
      </c>
      <c r="I8" s="27"/>
      <c r="J8" s="60"/>
    </row>
    <row r="9" spans="1:17" x14ac:dyDescent="0.25">
      <c r="A9" s="26" t="s">
        <v>107</v>
      </c>
      <c r="B9" s="9" t="s">
        <v>108</v>
      </c>
      <c r="C9" s="63">
        <v>41334</v>
      </c>
      <c r="D9" s="67">
        <v>527.29999999999995</v>
      </c>
      <c r="E9" s="63">
        <v>41336</v>
      </c>
      <c r="F9" s="9" t="s">
        <v>106</v>
      </c>
      <c r="G9" s="60"/>
      <c r="H9" s="28" t="s">
        <v>15</v>
      </c>
      <c r="I9" s="27"/>
      <c r="J9" s="60"/>
    </row>
    <row r="10" spans="1:17" x14ac:dyDescent="0.25">
      <c r="A10" s="26" t="s">
        <v>104</v>
      </c>
      <c r="B10" s="9" t="s">
        <v>110</v>
      </c>
      <c r="C10" s="65">
        <v>41334</v>
      </c>
      <c r="D10" s="67">
        <v>489.55</v>
      </c>
      <c r="E10" s="63">
        <v>41336</v>
      </c>
      <c r="F10" s="9" t="s">
        <v>106</v>
      </c>
      <c r="G10" s="61"/>
      <c r="H10" s="60"/>
      <c r="I10" s="60"/>
      <c r="J10" s="60"/>
    </row>
    <row r="11" spans="1:17" ht="18.75" x14ac:dyDescent="0.3">
      <c r="A11" s="24" t="s">
        <v>104</v>
      </c>
      <c r="B11" s="25" t="s">
        <v>110</v>
      </c>
      <c r="C11" s="63">
        <v>41334</v>
      </c>
      <c r="D11" s="67">
        <v>489.55</v>
      </c>
      <c r="E11" s="63">
        <v>41336</v>
      </c>
      <c r="F11" s="25" t="s">
        <v>106</v>
      </c>
      <c r="G11" s="60"/>
      <c r="H11" s="121" t="s">
        <v>170</v>
      </c>
      <c r="I11" s="121"/>
      <c r="J11" s="60"/>
    </row>
    <row r="12" spans="1:17" x14ac:dyDescent="0.25">
      <c r="A12" s="9" t="s">
        <v>130</v>
      </c>
      <c r="B12" s="9" t="s">
        <v>110</v>
      </c>
      <c r="C12" s="65">
        <v>41334</v>
      </c>
      <c r="D12" s="67">
        <v>489.55</v>
      </c>
      <c r="E12" s="63">
        <v>41336</v>
      </c>
      <c r="F12" s="9" t="s">
        <v>106</v>
      </c>
      <c r="G12" s="60"/>
      <c r="H12" s="119" t="s">
        <v>182</v>
      </c>
      <c r="I12" s="117" t="s">
        <v>178</v>
      </c>
      <c r="J12" s="60"/>
    </row>
    <row r="13" spans="1:17" x14ac:dyDescent="0.25">
      <c r="A13" s="26" t="s">
        <v>107</v>
      </c>
      <c r="B13" s="9" t="s">
        <v>108</v>
      </c>
      <c r="C13" s="63">
        <v>41335</v>
      </c>
      <c r="D13" s="67">
        <v>527.29999999999995</v>
      </c>
      <c r="E13" s="63">
        <v>41337</v>
      </c>
      <c r="F13" s="9" t="s">
        <v>109</v>
      </c>
      <c r="G13" s="60"/>
      <c r="H13" s="120"/>
      <c r="I13" s="118"/>
      <c r="J13" s="60"/>
    </row>
    <row r="14" spans="1:17" x14ac:dyDescent="0.25">
      <c r="A14" s="26" t="s">
        <v>107</v>
      </c>
      <c r="B14" s="9" t="s">
        <v>108</v>
      </c>
      <c r="C14" s="65">
        <v>41335</v>
      </c>
      <c r="D14" s="67">
        <v>527.29999999999995</v>
      </c>
      <c r="E14" s="63">
        <v>41337</v>
      </c>
      <c r="F14" s="9" t="s">
        <v>109</v>
      </c>
      <c r="G14" s="60"/>
      <c r="H14" s="9" t="s">
        <v>110</v>
      </c>
      <c r="I14" s="27"/>
      <c r="J14" s="60"/>
    </row>
    <row r="15" spans="1:17" x14ac:dyDescent="0.25">
      <c r="A15" s="26" t="s">
        <v>107</v>
      </c>
      <c r="B15" s="9" t="s">
        <v>108</v>
      </c>
      <c r="C15" s="63">
        <v>41335</v>
      </c>
      <c r="D15" s="67">
        <v>527.29999999999995</v>
      </c>
      <c r="E15" s="63">
        <v>41337</v>
      </c>
      <c r="F15" s="9" t="s">
        <v>109</v>
      </c>
      <c r="G15" s="60"/>
      <c r="H15" s="9" t="s">
        <v>105</v>
      </c>
      <c r="I15" s="27"/>
      <c r="J15" s="60"/>
    </row>
    <row r="16" spans="1:17" x14ac:dyDescent="0.25">
      <c r="A16" s="9" t="s">
        <v>130</v>
      </c>
      <c r="B16" s="9" t="s">
        <v>108</v>
      </c>
      <c r="C16" s="65">
        <v>41335</v>
      </c>
      <c r="D16" s="67">
        <v>527.29999999999995</v>
      </c>
      <c r="E16" s="63">
        <v>41337</v>
      </c>
      <c r="F16" s="9" t="s">
        <v>109</v>
      </c>
      <c r="G16" s="60"/>
      <c r="H16" s="9" t="s">
        <v>108</v>
      </c>
      <c r="I16" s="27"/>
      <c r="J16" s="60"/>
    </row>
    <row r="17" spans="1:10" x14ac:dyDescent="0.25">
      <c r="A17" s="26" t="s">
        <v>104</v>
      </c>
      <c r="B17" s="9" t="s">
        <v>110</v>
      </c>
      <c r="C17" s="63">
        <v>41335</v>
      </c>
      <c r="D17" s="67">
        <v>489.55</v>
      </c>
      <c r="E17" s="63">
        <v>41337</v>
      </c>
      <c r="F17" s="9" t="s">
        <v>106</v>
      </c>
      <c r="G17" s="60"/>
      <c r="H17" s="9" t="s">
        <v>113</v>
      </c>
      <c r="I17" s="27"/>
      <c r="J17" s="60"/>
    </row>
    <row r="18" spans="1:10" x14ac:dyDescent="0.25">
      <c r="A18" s="26" t="s">
        <v>104</v>
      </c>
      <c r="B18" s="9" t="s">
        <v>110</v>
      </c>
      <c r="C18" s="63">
        <v>41335</v>
      </c>
      <c r="D18" s="67">
        <v>489.55</v>
      </c>
      <c r="E18" s="63">
        <v>41337</v>
      </c>
      <c r="F18" s="9" t="s">
        <v>106</v>
      </c>
      <c r="G18" s="60"/>
      <c r="H18" s="28" t="s">
        <v>15</v>
      </c>
      <c r="I18" s="27"/>
      <c r="J18" s="60"/>
    </row>
    <row r="19" spans="1:10" x14ac:dyDescent="0.25">
      <c r="A19" s="24" t="s">
        <v>104</v>
      </c>
      <c r="B19" s="25" t="s">
        <v>110</v>
      </c>
      <c r="C19" s="65">
        <v>41335</v>
      </c>
      <c r="D19" s="67">
        <v>489.55</v>
      </c>
      <c r="E19" s="63">
        <v>41337</v>
      </c>
      <c r="F19" s="25" t="s">
        <v>106</v>
      </c>
      <c r="G19" s="60"/>
      <c r="H19" s="60"/>
      <c r="I19" s="60"/>
      <c r="J19" s="60"/>
    </row>
    <row r="20" spans="1:10" ht="18.75" x14ac:dyDescent="0.3">
      <c r="A20" s="24" t="s">
        <v>104</v>
      </c>
      <c r="B20" s="9" t="s">
        <v>110</v>
      </c>
      <c r="C20" s="63">
        <v>41335</v>
      </c>
      <c r="D20" s="67">
        <v>489.55</v>
      </c>
      <c r="E20" s="63">
        <v>41337</v>
      </c>
      <c r="F20" s="9" t="s">
        <v>106</v>
      </c>
      <c r="G20" s="60"/>
      <c r="H20" s="113" t="s">
        <v>169</v>
      </c>
      <c r="I20" s="114"/>
      <c r="J20" s="60"/>
    </row>
    <row r="21" spans="1:10" x14ac:dyDescent="0.25">
      <c r="A21" s="24" t="s">
        <v>107</v>
      </c>
      <c r="B21" s="9" t="s">
        <v>108</v>
      </c>
      <c r="C21" s="65">
        <v>41335</v>
      </c>
      <c r="D21" s="67">
        <v>527.29999999999995</v>
      </c>
      <c r="E21" s="63">
        <v>41337</v>
      </c>
      <c r="F21" s="9" t="s">
        <v>106</v>
      </c>
      <c r="G21" s="60"/>
      <c r="H21" s="119" t="s">
        <v>1</v>
      </c>
      <c r="I21" s="117" t="s">
        <v>178</v>
      </c>
      <c r="J21" s="60"/>
    </row>
    <row r="22" spans="1:10" x14ac:dyDescent="0.25">
      <c r="A22" s="24" t="s">
        <v>107</v>
      </c>
      <c r="B22" s="9" t="s">
        <v>108</v>
      </c>
      <c r="C22" s="63">
        <v>41335</v>
      </c>
      <c r="D22" s="67">
        <v>527.29999999999995</v>
      </c>
      <c r="E22" s="63">
        <v>41337</v>
      </c>
      <c r="F22" s="9" t="s">
        <v>106</v>
      </c>
      <c r="G22" s="60"/>
      <c r="H22" s="120"/>
      <c r="I22" s="118"/>
      <c r="J22" s="60"/>
    </row>
    <row r="23" spans="1:10" x14ac:dyDescent="0.25">
      <c r="A23" s="24" t="s">
        <v>107</v>
      </c>
      <c r="B23" s="9" t="s">
        <v>108</v>
      </c>
      <c r="C23" s="65">
        <v>41335</v>
      </c>
      <c r="D23" s="67">
        <v>527.29999999999995</v>
      </c>
      <c r="E23" s="63">
        <v>41337</v>
      </c>
      <c r="F23" s="9" t="s">
        <v>106</v>
      </c>
      <c r="G23" s="60"/>
      <c r="H23" s="27" t="s">
        <v>107</v>
      </c>
      <c r="I23" s="27"/>
      <c r="J23" s="60"/>
    </row>
    <row r="24" spans="1:10" x14ac:dyDescent="0.25">
      <c r="A24" s="24" t="s">
        <v>130</v>
      </c>
      <c r="B24" s="9" t="s">
        <v>108</v>
      </c>
      <c r="C24" s="63">
        <v>41335</v>
      </c>
      <c r="D24" s="67">
        <v>527.29999999999995</v>
      </c>
      <c r="E24" s="63">
        <v>41337</v>
      </c>
      <c r="F24" s="9" t="s">
        <v>106</v>
      </c>
      <c r="G24" s="60"/>
      <c r="H24" s="27" t="s">
        <v>112</v>
      </c>
      <c r="I24" s="27"/>
      <c r="J24" s="60"/>
    </row>
    <row r="25" spans="1:10" x14ac:dyDescent="0.25">
      <c r="A25" s="24" t="s">
        <v>130</v>
      </c>
      <c r="B25" s="9" t="s">
        <v>110</v>
      </c>
      <c r="C25" s="65">
        <v>41341</v>
      </c>
      <c r="D25" s="67">
        <v>489.55</v>
      </c>
      <c r="E25" s="63">
        <v>41343</v>
      </c>
      <c r="F25" s="9" t="s">
        <v>106</v>
      </c>
      <c r="G25" s="60"/>
      <c r="H25" s="27" t="s">
        <v>104</v>
      </c>
      <c r="I25" s="27"/>
      <c r="J25" s="60"/>
    </row>
    <row r="26" spans="1:10" x14ac:dyDescent="0.25">
      <c r="A26" s="24" t="s">
        <v>112</v>
      </c>
      <c r="B26" s="9" t="s">
        <v>110</v>
      </c>
      <c r="C26" s="65">
        <v>41341</v>
      </c>
      <c r="D26" s="67">
        <v>489.55</v>
      </c>
      <c r="E26" s="63">
        <v>41343</v>
      </c>
      <c r="F26" s="9" t="s">
        <v>114</v>
      </c>
      <c r="G26" s="60"/>
      <c r="H26" s="27" t="s">
        <v>130</v>
      </c>
      <c r="I26" s="27"/>
      <c r="J26" s="60"/>
    </row>
    <row r="27" spans="1:10" x14ac:dyDescent="0.25">
      <c r="A27" s="24" t="s">
        <v>112</v>
      </c>
      <c r="B27" s="25" t="s">
        <v>110</v>
      </c>
      <c r="C27" s="65">
        <v>41341</v>
      </c>
      <c r="D27" s="67">
        <v>489.55</v>
      </c>
      <c r="E27" s="63">
        <v>41343</v>
      </c>
      <c r="F27" s="25" t="s">
        <v>114</v>
      </c>
      <c r="G27" s="60"/>
      <c r="H27" s="28" t="s">
        <v>15</v>
      </c>
      <c r="I27" s="27"/>
      <c r="J27" s="60"/>
    </row>
    <row r="28" spans="1:10" x14ac:dyDescent="0.25">
      <c r="A28" s="24" t="s">
        <v>112</v>
      </c>
      <c r="B28" s="9" t="s">
        <v>110</v>
      </c>
      <c r="C28" s="65">
        <v>41341</v>
      </c>
      <c r="D28" s="67">
        <v>489.55</v>
      </c>
      <c r="E28" s="63">
        <v>41343</v>
      </c>
      <c r="F28" s="9" t="s">
        <v>114</v>
      </c>
      <c r="G28" s="60"/>
      <c r="H28" s="60"/>
      <c r="I28" s="60"/>
      <c r="J28" s="60"/>
    </row>
    <row r="29" spans="1:10" ht="18.75" x14ac:dyDescent="0.3">
      <c r="A29" s="24" t="s">
        <v>130</v>
      </c>
      <c r="B29" s="9" t="s">
        <v>110</v>
      </c>
      <c r="C29" s="65">
        <v>41341</v>
      </c>
      <c r="D29" s="67">
        <v>489.55</v>
      </c>
      <c r="E29" s="63">
        <v>41343</v>
      </c>
      <c r="F29" s="9" t="s">
        <v>114</v>
      </c>
      <c r="G29" s="60"/>
      <c r="H29" s="113" t="s">
        <v>168</v>
      </c>
      <c r="I29" s="114"/>
      <c r="J29" s="60"/>
    </row>
    <row r="30" spans="1:10" x14ac:dyDescent="0.25">
      <c r="A30" s="24" t="s">
        <v>104</v>
      </c>
      <c r="B30" s="9" t="s">
        <v>105</v>
      </c>
      <c r="C30" s="65">
        <v>41341</v>
      </c>
      <c r="D30" s="67">
        <v>308.89</v>
      </c>
      <c r="E30" s="63">
        <v>41343</v>
      </c>
      <c r="F30" s="9" t="s">
        <v>106</v>
      </c>
      <c r="G30" s="60"/>
      <c r="H30" s="119" t="s">
        <v>102</v>
      </c>
      <c r="I30" s="117" t="s">
        <v>178</v>
      </c>
      <c r="J30" s="60"/>
    </row>
    <row r="31" spans="1:10" x14ac:dyDescent="0.25">
      <c r="A31" s="24" t="s">
        <v>104</v>
      </c>
      <c r="B31" s="9" t="s">
        <v>105</v>
      </c>
      <c r="C31" s="65">
        <v>41341</v>
      </c>
      <c r="D31" s="67">
        <v>308.89</v>
      </c>
      <c r="E31" s="63">
        <v>41343</v>
      </c>
      <c r="F31" s="9" t="s">
        <v>114</v>
      </c>
      <c r="G31" s="60"/>
      <c r="H31" s="120"/>
      <c r="I31" s="118"/>
      <c r="J31" s="60"/>
    </row>
    <row r="32" spans="1:10" x14ac:dyDescent="0.25">
      <c r="A32" s="24" t="s">
        <v>112</v>
      </c>
      <c r="B32" s="9" t="s">
        <v>113</v>
      </c>
      <c r="C32" s="65">
        <v>41341</v>
      </c>
      <c r="D32" s="67">
        <v>880.08</v>
      </c>
      <c r="E32" s="63">
        <v>41343</v>
      </c>
      <c r="F32" s="9" t="s">
        <v>109</v>
      </c>
      <c r="G32" s="60"/>
      <c r="H32" s="66">
        <v>41336</v>
      </c>
      <c r="I32" s="27"/>
      <c r="J32" s="60"/>
    </row>
    <row r="33" spans="1:10" x14ac:dyDescent="0.25">
      <c r="A33" s="24" t="s">
        <v>104</v>
      </c>
      <c r="B33" s="9" t="s">
        <v>105</v>
      </c>
      <c r="C33" s="65">
        <v>41341</v>
      </c>
      <c r="D33" s="67">
        <v>308.89</v>
      </c>
      <c r="E33" s="63">
        <v>41343</v>
      </c>
      <c r="F33" s="9" t="s">
        <v>106</v>
      </c>
      <c r="G33" s="60"/>
      <c r="H33" s="66">
        <v>41337</v>
      </c>
      <c r="I33" s="27"/>
      <c r="J33" s="60"/>
    </row>
    <row r="34" spans="1:10" x14ac:dyDescent="0.25">
      <c r="A34" s="24" t="s">
        <v>104</v>
      </c>
      <c r="B34" s="9" t="s">
        <v>105</v>
      </c>
      <c r="C34" s="65">
        <v>41341</v>
      </c>
      <c r="D34" s="67">
        <v>308.89</v>
      </c>
      <c r="E34" s="63">
        <v>41343</v>
      </c>
      <c r="F34" s="9" t="s">
        <v>114</v>
      </c>
      <c r="G34" s="60"/>
      <c r="H34" s="66">
        <v>41343</v>
      </c>
      <c r="I34" s="27"/>
      <c r="J34" s="60"/>
    </row>
    <row r="35" spans="1:10" x14ac:dyDescent="0.25">
      <c r="A35" s="24" t="s">
        <v>112</v>
      </c>
      <c r="B35" s="25" t="s">
        <v>113</v>
      </c>
      <c r="C35" s="65">
        <v>41341</v>
      </c>
      <c r="D35" s="67">
        <v>880.08</v>
      </c>
      <c r="E35" s="63">
        <v>41343</v>
      </c>
      <c r="F35" s="25" t="s">
        <v>109</v>
      </c>
      <c r="G35" s="60"/>
      <c r="H35" s="66">
        <v>41344</v>
      </c>
      <c r="I35" s="27"/>
      <c r="J35" s="60"/>
    </row>
    <row r="36" spans="1:10" x14ac:dyDescent="0.25">
      <c r="A36" s="24" t="s">
        <v>130</v>
      </c>
      <c r="B36" s="9" t="s">
        <v>108</v>
      </c>
      <c r="C36" s="65">
        <v>41342</v>
      </c>
      <c r="D36" s="68">
        <v>527.29999999999995</v>
      </c>
      <c r="E36" s="63">
        <v>41344</v>
      </c>
      <c r="F36" s="9" t="s">
        <v>106</v>
      </c>
      <c r="G36" s="60"/>
      <c r="H36" s="66">
        <v>41351</v>
      </c>
      <c r="I36" s="27"/>
      <c r="J36" s="60"/>
    </row>
    <row r="37" spans="1:10" x14ac:dyDescent="0.25">
      <c r="A37" s="24" t="s">
        <v>112</v>
      </c>
      <c r="B37" s="9" t="s">
        <v>110</v>
      </c>
      <c r="C37" s="65">
        <v>41342</v>
      </c>
      <c r="D37" s="67">
        <v>489.55</v>
      </c>
      <c r="E37" s="63">
        <v>41344</v>
      </c>
      <c r="F37" s="9" t="s">
        <v>114</v>
      </c>
      <c r="G37" s="60"/>
      <c r="H37" s="28" t="s">
        <v>15</v>
      </c>
      <c r="I37" s="27"/>
      <c r="J37" s="60"/>
    </row>
    <row r="38" spans="1:10" x14ac:dyDescent="0.25">
      <c r="A38" s="24" t="s">
        <v>112</v>
      </c>
      <c r="B38" s="9" t="s">
        <v>110</v>
      </c>
      <c r="C38" s="65">
        <v>41342</v>
      </c>
      <c r="D38" s="67">
        <v>489.55</v>
      </c>
      <c r="E38" s="63">
        <v>41344</v>
      </c>
      <c r="F38" s="9" t="s">
        <v>114</v>
      </c>
      <c r="G38" s="60"/>
      <c r="H38" s="60"/>
      <c r="I38" s="60"/>
      <c r="J38" s="60"/>
    </row>
    <row r="39" spans="1:10" x14ac:dyDescent="0.25">
      <c r="A39" s="24" t="s">
        <v>112</v>
      </c>
      <c r="B39" s="9" t="s">
        <v>110</v>
      </c>
      <c r="C39" s="65">
        <v>41342</v>
      </c>
      <c r="D39" s="68">
        <v>489.55</v>
      </c>
      <c r="E39" s="63">
        <v>41344</v>
      </c>
      <c r="F39" s="9" t="s">
        <v>114</v>
      </c>
    </row>
    <row r="40" spans="1:10" x14ac:dyDescent="0.25">
      <c r="A40" s="24" t="s">
        <v>130</v>
      </c>
      <c r="B40" s="9" t="s">
        <v>110</v>
      </c>
      <c r="C40" s="65">
        <v>41342</v>
      </c>
      <c r="D40" s="67">
        <v>489.55</v>
      </c>
      <c r="E40" s="63">
        <v>41344</v>
      </c>
      <c r="F40" s="9" t="s">
        <v>114</v>
      </c>
    </row>
    <row r="41" spans="1:10" x14ac:dyDescent="0.25">
      <c r="A41" s="24" t="s">
        <v>112</v>
      </c>
      <c r="B41" s="9" t="s">
        <v>113</v>
      </c>
      <c r="C41" s="65">
        <v>41342</v>
      </c>
      <c r="D41" s="67">
        <v>880.08</v>
      </c>
      <c r="E41" s="63">
        <v>41344</v>
      </c>
      <c r="F41" s="9" t="s">
        <v>109</v>
      </c>
    </row>
    <row r="42" spans="1:10" x14ac:dyDescent="0.25">
      <c r="A42" s="24" t="s">
        <v>104</v>
      </c>
      <c r="B42" s="9" t="s">
        <v>105</v>
      </c>
      <c r="C42" s="65">
        <v>41342</v>
      </c>
      <c r="D42" s="68">
        <v>308.89</v>
      </c>
      <c r="E42" s="63">
        <v>41344</v>
      </c>
      <c r="F42" s="9" t="s">
        <v>106</v>
      </c>
    </row>
    <row r="43" spans="1:10" x14ac:dyDescent="0.25">
      <c r="A43" s="24" t="s">
        <v>104</v>
      </c>
      <c r="B43" s="25" t="s">
        <v>105</v>
      </c>
      <c r="C43" s="65">
        <v>41342</v>
      </c>
      <c r="D43" s="67">
        <v>308.89</v>
      </c>
      <c r="E43" s="63">
        <v>41344</v>
      </c>
      <c r="F43" s="25" t="s">
        <v>114</v>
      </c>
    </row>
    <row r="44" spans="1:10" x14ac:dyDescent="0.25">
      <c r="A44" s="24" t="s">
        <v>112</v>
      </c>
      <c r="B44" s="9" t="s">
        <v>113</v>
      </c>
      <c r="C44" s="65">
        <v>41342</v>
      </c>
      <c r="D44" s="67">
        <v>880.08</v>
      </c>
      <c r="E44" s="63">
        <v>41344</v>
      </c>
      <c r="F44" s="9" t="s">
        <v>109</v>
      </c>
    </row>
    <row r="45" spans="1:10" x14ac:dyDescent="0.25">
      <c r="A45" s="24" t="s">
        <v>104</v>
      </c>
      <c r="B45" s="9" t="s">
        <v>105</v>
      </c>
      <c r="C45" s="65">
        <v>41342</v>
      </c>
      <c r="D45" s="68">
        <v>308.89</v>
      </c>
      <c r="E45" s="63">
        <v>41344</v>
      </c>
      <c r="F45" s="9" t="s">
        <v>106</v>
      </c>
    </row>
    <row r="46" spans="1:10" x14ac:dyDescent="0.25">
      <c r="A46" s="24" t="s">
        <v>104</v>
      </c>
      <c r="B46" s="9" t="s">
        <v>105</v>
      </c>
      <c r="C46" s="65">
        <v>41342</v>
      </c>
      <c r="D46" s="67">
        <v>308.89</v>
      </c>
      <c r="E46" s="63">
        <v>41344</v>
      </c>
      <c r="F46" s="9" t="s">
        <v>114</v>
      </c>
    </row>
    <row r="47" spans="1:10" x14ac:dyDescent="0.25">
      <c r="A47" s="24" t="s">
        <v>104</v>
      </c>
      <c r="B47" s="9" t="s">
        <v>105</v>
      </c>
      <c r="C47" s="65">
        <v>41348</v>
      </c>
      <c r="D47" s="67">
        <v>308.89</v>
      </c>
      <c r="E47" s="63">
        <v>41350</v>
      </c>
      <c r="F47" s="9" t="s">
        <v>106</v>
      </c>
    </row>
    <row r="48" spans="1:10" x14ac:dyDescent="0.25">
      <c r="A48" s="24" t="s">
        <v>112</v>
      </c>
      <c r="B48" s="9" t="s">
        <v>113</v>
      </c>
      <c r="C48" s="65">
        <v>41348</v>
      </c>
      <c r="D48" s="68">
        <v>880.08</v>
      </c>
      <c r="E48" s="63">
        <v>41350</v>
      </c>
      <c r="F48" s="9" t="s">
        <v>109</v>
      </c>
    </row>
    <row r="49" spans="1:6" x14ac:dyDescent="0.25">
      <c r="A49" s="24" t="s">
        <v>104</v>
      </c>
      <c r="B49" s="9" t="s">
        <v>105</v>
      </c>
      <c r="C49" s="65">
        <v>41348</v>
      </c>
      <c r="D49" s="67">
        <v>308.89</v>
      </c>
      <c r="E49" s="63">
        <v>41350</v>
      </c>
      <c r="F49" s="9" t="s">
        <v>106</v>
      </c>
    </row>
    <row r="50" spans="1:6" x14ac:dyDescent="0.25">
      <c r="A50" s="24" t="s">
        <v>112</v>
      </c>
      <c r="B50" s="9" t="s">
        <v>113</v>
      </c>
      <c r="C50" s="65">
        <v>41348</v>
      </c>
      <c r="D50" s="67">
        <v>880.08</v>
      </c>
      <c r="E50" s="63">
        <v>41350</v>
      </c>
      <c r="F50" s="9" t="s">
        <v>109</v>
      </c>
    </row>
    <row r="51" spans="1:6" x14ac:dyDescent="0.25">
      <c r="A51" s="24" t="s">
        <v>130</v>
      </c>
      <c r="B51" s="25" t="s">
        <v>105</v>
      </c>
      <c r="C51" s="65">
        <v>41348</v>
      </c>
      <c r="D51" s="68">
        <v>308.89</v>
      </c>
      <c r="E51" s="63">
        <v>41350</v>
      </c>
      <c r="F51" s="25" t="s">
        <v>106</v>
      </c>
    </row>
    <row r="52" spans="1:6" x14ac:dyDescent="0.25">
      <c r="A52" s="24" t="s">
        <v>130</v>
      </c>
      <c r="B52" s="9" t="s">
        <v>113</v>
      </c>
      <c r="C52" s="65">
        <v>41348</v>
      </c>
      <c r="D52" s="67">
        <v>880.08</v>
      </c>
      <c r="E52" s="63">
        <v>41350</v>
      </c>
      <c r="F52" s="9" t="s">
        <v>109</v>
      </c>
    </row>
    <row r="53" spans="1:6" x14ac:dyDescent="0.25">
      <c r="A53" s="24" t="s">
        <v>130</v>
      </c>
      <c r="B53" s="9" t="s">
        <v>105</v>
      </c>
      <c r="C53" s="65">
        <v>41348</v>
      </c>
      <c r="D53" s="67">
        <v>308.89</v>
      </c>
      <c r="E53" s="63">
        <v>41350</v>
      </c>
      <c r="F53" s="9" t="s">
        <v>114</v>
      </c>
    </row>
    <row r="54" spans="1:6" x14ac:dyDescent="0.25">
      <c r="A54" s="24" t="s">
        <v>130</v>
      </c>
      <c r="B54" s="9" t="s">
        <v>105</v>
      </c>
      <c r="C54" s="65">
        <v>41348</v>
      </c>
      <c r="D54" s="68">
        <v>308.89</v>
      </c>
      <c r="E54" s="63">
        <v>41350</v>
      </c>
      <c r="F54" s="9" t="s">
        <v>106</v>
      </c>
    </row>
    <row r="55" spans="1:6" x14ac:dyDescent="0.25">
      <c r="A55" s="24" t="s">
        <v>130</v>
      </c>
      <c r="B55" s="9" t="s">
        <v>105</v>
      </c>
      <c r="C55" s="65">
        <v>41348</v>
      </c>
      <c r="D55" s="67">
        <v>308.89</v>
      </c>
      <c r="E55" s="63">
        <v>41350</v>
      </c>
      <c r="F55" s="9" t="s">
        <v>114</v>
      </c>
    </row>
    <row r="56" spans="1:6" x14ac:dyDescent="0.25">
      <c r="A56" s="24" t="s">
        <v>112</v>
      </c>
      <c r="B56" s="9" t="s">
        <v>113</v>
      </c>
      <c r="C56" s="65">
        <v>41348</v>
      </c>
      <c r="D56" s="67">
        <v>880.08</v>
      </c>
      <c r="E56" s="63">
        <v>41350</v>
      </c>
      <c r="F56" s="9" t="s">
        <v>111</v>
      </c>
    </row>
    <row r="57" spans="1:6" x14ac:dyDescent="0.25">
      <c r="A57" s="24" t="s">
        <v>112</v>
      </c>
      <c r="B57" s="9" t="s">
        <v>113</v>
      </c>
      <c r="C57" s="65">
        <v>41348</v>
      </c>
      <c r="D57" s="68">
        <v>880.08</v>
      </c>
      <c r="E57" s="63">
        <v>41350</v>
      </c>
      <c r="F57" s="9" t="s">
        <v>111</v>
      </c>
    </row>
    <row r="58" spans="1:6" x14ac:dyDescent="0.25">
      <c r="A58" s="24" t="s">
        <v>130</v>
      </c>
      <c r="B58" s="9" t="s">
        <v>113</v>
      </c>
      <c r="C58" s="65">
        <v>41348</v>
      </c>
      <c r="D58" s="67">
        <v>880.08</v>
      </c>
      <c r="E58" s="63">
        <v>41350</v>
      </c>
      <c r="F58" s="9" t="s">
        <v>111</v>
      </c>
    </row>
    <row r="59" spans="1:6" x14ac:dyDescent="0.25">
      <c r="A59" s="24" t="s">
        <v>130</v>
      </c>
      <c r="B59" s="25" t="s">
        <v>113</v>
      </c>
      <c r="C59" s="65">
        <v>41348</v>
      </c>
      <c r="D59" s="68">
        <v>880.08</v>
      </c>
      <c r="E59" s="63">
        <v>41350</v>
      </c>
      <c r="F59" s="25" t="s">
        <v>111</v>
      </c>
    </row>
    <row r="60" spans="1:6" x14ac:dyDescent="0.25">
      <c r="A60" s="24" t="s">
        <v>104</v>
      </c>
      <c r="B60" s="9" t="s">
        <v>105</v>
      </c>
      <c r="C60" s="65">
        <v>41349</v>
      </c>
      <c r="D60" s="68">
        <v>308.89</v>
      </c>
      <c r="E60" s="63">
        <v>41351</v>
      </c>
      <c r="F60" s="9" t="s">
        <v>114</v>
      </c>
    </row>
    <row r="61" spans="1:6" x14ac:dyDescent="0.25">
      <c r="A61" s="24" t="s">
        <v>104</v>
      </c>
      <c r="B61" s="9" t="s">
        <v>105</v>
      </c>
      <c r="C61" s="65">
        <v>41349</v>
      </c>
      <c r="D61" s="68">
        <v>308.89</v>
      </c>
      <c r="E61" s="63">
        <v>41351</v>
      </c>
      <c r="F61" s="9" t="s">
        <v>114</v>
      </c>
    </row>
    <row r="62" spans="1:6" x14ac:dyDescent="0.25">
      <c r="A62" s="24" t="s">
        <v>130</v>
      </c>
      <c r="B62" s="9" t="s">
        <v>113</v>
      </c>
      <c r="C62" s="65">
        <v>41349</v>
      </c>
      <c r="D62" s="68">
        <v>880.08</v>
      </c>
      <c r="E62" s="63">
        <v>41351</v>
      </c>
      <c r="F62" s="9" t="s">
        <v>109</v>
      </c>
    </row>
    <row r="63" spans="1:6" x14ac:dyDescent="0.25">
      <c r="A63" s="24" t="s">
        <v>112</v>
      </c>
      <c r="B63" s="9" t="s">
        <v>113</v>
      </c>
      <c r="C63" s="65">
        <v>41349</v>
      </c>
      <c r="D63" s="68">
        <v>880.08</v>
      </c>
      <c r="E63" s="63">
        <v>41351</v>
      </c>
      <c r="F63" s="9" t="s">
        <v>111</v>
      </c>
    </row>
    <row r="64" spans="1:6" x14ac:dyDescent="0.25">
      <c r="A64" s="24" t="s">
        <v>112</v>
      </c>
      <c r="B64" s="9" t="s">
        <v>113</v>
      </c>
      <c r="C64" s="65">
        <v>41349</v>
      </c>
      <c r="D64" s="68">
        <v>880.08</v>
      </c>
      <c r="E64" s="63">
        <v>41351</v>
      </c>
      <c r="F64" s="9" t="s">
        <v>111</v>
      </c>
    </row>
    <row r="65" spans="1:6" x14ac:dyDescent="0.25">
      <c r="A65" s="24" t="s">
        <v>112</v>
      </c>
      <c r="B65" s="9" t="s">
        <v>113</v>
      </c>
      <c r="C65" s="65">
        <v>41349</v>
      </c>
      <c r="D65" s="68">
        <v>880.08</v>
      </c>
      <c r="E65" s="63">
        <v>41351</v>
      </c>
      <c r="F65" s="9" t="s">
        <v>111</v>
      </c>
    </row>
    <row r="66" spans="1:6" x14ac:dyDescent="0.25">
      <c r="A66" s="24" t="s">
        <v>112</v>
      </c>
      <c r="B66" s="9" t="s">
        <v>113</v>
      </c>
      <c r="C66" s="65">
        <v>41349</v>
      </c>
      <c r="D66" s="68">
        <v>880.08</v>
      </c>
      <c r="E66" s="63">
        <v>41351</v>
      </c>
      <c r="F66" s="9" t="s">
        <v>111</v>
      </c>
    </row>
  </sheetData>
  <sortState xmlns:xlrd2="http://schemas.microsoft.com/office/spreadsheetml/2017/richdata2" ref="A2:F65">
    <sortCondition ref="C2:C65"/>
  </sortState>
  <mergeCells count="18">
    <mergeCell ref="I12:I13"/>
    <mergeCell ref="H12:H13"/>
    <mergeCell ref="H11:I11"/>
    <mergeCell ref="K5:P6"/>
    <mergeCell ref="A1:I1"/>
    <mergeCell ref="K1:P1"/>
    <mergeCell ref="K2:P2"/>
    <mergeCell ref="K3:P3"/>
    <mergeCell ref="K4:P4"/>
    <mergeCell ref="H2:I2"/>
    <mergeCell ref="I3:I4"/>
    <mergeCell ref="H3:H4"/>
    <mergeCell ref="I21:I22"/>
    <mergeCell ref="H21:H22"/>
    <mergeCell ref="H20:I20"/>
    <mergeCell ref="H29:I29"/>
    <mergeCell ref="H30:H31"/>
    <mergeCell ref="I30:I31"/>
  </mergeCells>
  <dataValidations count="2">
    <dataValidation type="list" allowBlank="1" showInputMessage="1" showErrorMessage="1" sqref="H14:H17 B3:B66" xr:uid="{00000000-0002-0000-0600-000000000000}">
      <formula1>Celulares</formula1>
    </dataValidation>
    <dataValidation type="list" allowBlank="1" showInputMessage="1" showErrorMessage="1" sqref="F3:F66" xr:uid="{00000000-0002-0000-0600-000001000000}">
      <formula1>"Azul,Prata,Dourado,Preto"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&amp;C&amp;"Arial"&amp;8&amp;K000000INTERNAL&amp;1#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 E OU</vt:lpstr>
      <vt:lpstr>SE</vt:lpstr>
      <vt:lpstr>SE OU</vt:lpstr>
      <vt:lpstr>SE E</vt:lpstr>
      <vt:lpstr>CONT.SE</vt:lpstr>
      <vt:lpstr>SOMASE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</dc:creator>
  <cp:lastModifiedBy>ETEC</cp:lastModifiedBy>
  <dcterms:created xsi:type="dcterms:W3CDTF">2013-04-23T21:00:21Z</dcterms:created>
  <dcterms:modified xsi:type="dcterms:W3CDTF">2026-06-10T00:18:17Z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2021-10-10T20:47:37Z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00b2cbdb-0037-40a2-800c-5972c7eefe23</vt:lpwstr>
  </property>
  <property fmtid="{D5CDD505-2E9C-101B-9397-08002B2CF9AE}" pid="8" name="MSIP_Label_797ad33d-ed35-43c0-b526-22bc83c17deb_ContentBits">
    <vt:lpwstr>1</vt:lpwstr>
  </property>
</Properties>
</file>
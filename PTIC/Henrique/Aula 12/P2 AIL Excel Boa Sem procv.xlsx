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2D6E9B6-E1A9-438D-BD20-ACCA4274471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Exercícios" sheetId="2" r:id="rId1"/>
    <sheet name="Instruções" sheetId="3" r:id="rId2"/>
  </sheets>
  <definedNames>
    <definedName name="_xlnm._FilterDatabase" localSheetId="0" hidden="1">Exercícios!$A$9:$U$9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2" l="1"/>
  <c r="P13" i="2"/>
  <c r="P14" i="2"/>
  <c r="P15" i="2"/>
  <c r="P16" i="2"/>
  <c r="P17" i="2"/>
  <c r="P11" i="2"/>
  <c r="L12" i="2" l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M11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G56" i="2"/>
  <c r="H56" i="2"/>
  <c r="I56" i="2"/>
  <c r="J56" i="2"/>
  <c r="K56" i="2"/>
  <c r="L56" i="2"/>
  <c r="F56" i="2"/>
  <c r="E56" i="2"/>
  <c r="M12" i="2"/>
  <c r="M56" i="2" s="1"/>
  <c r="L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11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11" i="2"/>
  <c r="G40" i="2" l="1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2" i="2"/>
  <c r="G13" i="2"/>
  <c r="G14" i="2"/>
  <c r="G15" i="2"/>
  <c r="G16" i="2"/>
  <c r="G17" i="2"/>
  <c r="G18" i="2"/>
  <c r="G19" i="2"/>
  <c r="G20" i="2"/>
  <c r="G21" i="2"/>
  <c r="G22" i="2"/>
  <c r="G23" i="2"/>
  <c r="G11" i="2"/>
</calcChain>
</file>

<file path=xl/sharedStrings.xml><?xml version="1.0" encoding="utf-8"?>
<sst xmlns="http://schemas.openxmlformats.org/spreadsheetml/2006/main" count="235" uniqueCount="79">
  <si>
    <t>Nome</t>
  </si>
  <si>
    <t>Adriele Martins</t>
  </si>
  <si>
    <t>Angelo Disanti</t>
  </si>
  <si>
    <t>Cristian Flores</t>
  </si>
  <si>
    <t>Marta Machado</t>
  </si>
  <si>
    <t>Miriam Barbosa</t>
  </si>
  <si>
    <t>Paulo Rodzewics</t>
  </si>
  <si>
    <t>Priscilla Messias</t>
  </si>
  <si>
    <t>Rafael Souza</t>
  </si>
  <si>
    <t>Cod.</t>
  </si>
  <si>
    <t>Produto</t>
  </si>
  <si>
    <t>Laptop HP</t>
  </si>
  <si>
    <t>HD 1 TB</t>
  </si>
  <si>
    <t>Microcomputador Dell</t>
  </si>
  <si>
    <t>Impressora Laser</t>
  </si>
  <si>
    <t>Placa de Video GeForce GTX 650 Ti BOOST</t>
  </si>
  <si>
    <t>Processador i7</t>
  </si>
  <si>
    <t>Região</t>
  </si>
  <si>
    <t>Norte</t>
  </si>
  <si>
    <t>Sul</t>
  </si>
  <si>
    <t>Leste</t>
  </si>
  <si>
    <t>Quantidade Vendida</t>
  </si>
  <si>
    <t>Total</t>
  </si>
  <si>
    <t>Vendedor</t>
  </si>
  <si>
    <t>Quantidade de Vendas</t>
  </si>
  <si>
    <t>Controle de Vendas - Nóis no EXCEL</t>
  </si>
  <si>
    <t>Desconto</t>
  </si>
  <si>
    <t>Total a Pagar</t>
  </si>
  <si>
    <t>Oeste</t>
  </si>
  <si>
    <t>Instruções</t>
  </si>
  <si>
    <t>Ex.  1</t>
  </si>
  <si>
    <t>Ex.  2</t>
  </si>
  <si>
    <t>Ex.  3</t>
  </si>
  <si>
    <t>Ex.  4</t>
  </si>
  <si>
    <t>Ex.  5</t>
  </si>
  <si>
    <t>Ex.  6</t>
  </si>
  <si>
    <t>Ex.  7</t>
  </si>
  <si>
    <t>Ex.  8</t>
  </si>
  <si>
    <t>Valor da Entrada</t>
  </si>
  <si>
    <t>Salário do Vendedor</t>
  </si>
  <si>
    <t>Valor das Parcelas</t>
  </si>
  <si>
    <t>Saldo Devedor</t>
  </si>
  <si>
    <t>Quantidade de Parcelas</t>
  </si>
  <si>
    <t>Ex.  9</t>
  </si>
  <si>
    <t>Salário Fixo de Vendedor</t>
  </si>
  <si>
    <t>RELATÓRIOS</t>
  </si>
  <si>
    <t>Média</t>
  </si>
  <si>
    <t>Informações Úteis</t>
  </si>
  <si>
    <t>% de Entrada de Pagamento</t>
  </si>
  <si>
    <t>Exemplo</t>
  </si>
  <si>
    <t>Preço Unitário</t>
  </si>
  <si>
    <t>Total Vendido</t>
  </si>
  <si>
    <t>Vide exemplos na linha 4 da planilha Exercícios</t>
  </si>
  <si>
    <r>
      <rPr>
        <b/>
        <sz val="11"/>
        <color rgb="FFFF0000"/>
        <rFont val="Calibri"/>
        <family val="2"/>
        <scheme val="minor"/>
      </rPr>
      <t xml:space="preserve">Ex. 2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 xml:space="preserve"> Calcule o Desconto considerando que, se o Total Vendido for acima de R$ 5000,00 o desconto será de 10%  e se o Total Vendido for abaixo de R$ 5.000,00 o desconto será de 5%.</t>
    </r>
  </si>
  <si>
    <r>
      <rPr>
        <b/>
        <sz val="11"/>
        <color rgb="FFFF0000"/>
        <rFont val="Calibri"/>
        <family val="2"/>
        <scheme val="minor"/>
      </rPr>
      <t>Ex. 3</t>
    </r>
    <r>
      <rPr>
        <sz val="11"/>
        <rFont val="Calibri"/>
        <family val="2"/>
        <scheme val="minor"/>
      </rPr>
      <t xml:space="preserve"> - Calcule o Total a Pagar utilizando o Total Vendido e o Desconto.</t>
    </r>
  </si>
  <si>
    <r>
      <rPr>
        <b/>
        <sz val="11"/>
        <color rgb="FFFF0000"/>
        <rFont val="Calibri"/>
        <family val="2"/>
        <scheme val="minor"/>
      </rPr>
      <t>Ex. 5.1</t>
    </r>
    <r>
      <rPr>
        <sz val="11"/>
        <rFont val="Calibri"/>
        <family val="2"/>
        <scheme val="minor"/>
      </rPr>
      <t xml:space="preserve">  -  Obtenha o número de parcelas faltantes para pagamento considerando que, se o Total a Pagar for maior que R$ 10.000,00 a quantidade de Parcelas será 3, e se o Total a Pagar for menor que R$ 10.000,00 a quantidade de Parcelas será 2. 
</t>
    </r>
    <r>
      <rPr>
        <b/>
        <sz val="11"/>
        <color rgb="FFFF0000"/>
        <rFont val="Calibri"/>
        <family val="2"/>
        <scheme val="minor"/>
      </rPr>
      <t>Ex. 5.2</t>
    </r>
    <r>
      <rPr>
        <sz val="11"/>
        <rFont val="Calibri"/>
        <family val="2"/>
        <scheme val="minor"/>
      </rPr>
      <t xml:space="preserve">  - Calcule o Valor das Parcelas utilizando o Saldo Devedor e a Quantidade de Parcelas.</t>
    </r>
  </si>
  <si>
    <r>
      <rPr>
        <b/>
        <sz val="11"/>
        <color rgb="FFFF0000"/>
        <rFont val="Calibri"/>
        <family val="2"/>
        <scheme val="minor"/>
      </rPr>
      <t>Ex. 6.1</t>
    </r>
    <r>
      <rPr>
        <sz val="11"/>
        <rFont val="Calibri"/>
        <family val="2"/>
        <scheme val="minor"/>
      </rPr>
      <t xml:space="preserve"> - Obtenha a Quantidade de Vendas que cada vendedor realizou neste mês.
</t>
    </r>
    <r>
      <rPr>
        <b/>
        <sz val="11"/>
        <color rgb="FFFF0000"/>
        <rFont val="Calibri"/>
        <family val="2"/>
        <scheme val="minor"/>
      </rPr>
      <t>Ex. 6.1</t>
    </r>
    <r>
      <rPr>
        <sz val="11"/>
        <rFont val="Calibri"/>
        <family val="2"/>
        <scheme val="minor"/>
      </rPr>
      <t xml:space="preserve"> - Obtenha a Quantidade de vezes que cada produto foi vendido neste mês.
</t>
    </r>
    <r>
      <rPr>
        <b/>
        <sz val="11"/>
        <color theme="3" tint="-0.499984740745262"/>
        <rFont val="Calibri"/>
        <family val="2"/>
        <scheme val="minor"/>
      </rPr>
      <t>Obs. Não se trata da Quantidade Vendida de Produtos.</t>
    </r>
  </si>
  <si>
    <t>Ex.  4.1</t>
  </si>
  <si>
    <t>Ex.  4.2</t>
  </si>
  <si>
    <t>Ex.  5.1</t>
  </si>
  <si>
    <t>Ex.  5.2</t>
  </si>
  <si>
    <t>Ex.  6.1</t>
  </si>
  <si>
    <t>Ex.  6.2</t>
  </si>
  <si>
    <t>Ex.  7.2</t>
  </si>
  <si>
    <t>Ex.  7.1</t>
  </si>
  <si>
    <r>
      <rPr>
        <b/>
        <sz val="11"/>
        <color rgb="FFFF0000"/>
        <rFont val="Calibri"/>
        <family val="2"/>
        <scheme val="minor"/>
      </rPr>
      <t>Ex. 7.1</t>
    </r>
    <r>
      <rPr>
        <sz val="11"/>
        <rFont val="Calibri"/>
        <family val="2"/>
        <scheme val="minor"/>
      </rPr>
      <t xml:space="preserve"> - Calcule o Total Vendido de cada vendedor.
</t>
    </r>
    <r>
      <rPr>
        <b/>
        <sz val="11"/>
        <color rgb="FFFF0000"/>
        <rFont val="Calibri"/>
        <family val="2"/>
        <scheme val="minor"/>
      </rPr>
      <t>Ex. 7.2</t>
    </r>
    <r>
      <rPr>
        <sz val="11"/>
        <rFont val="Calibri"/>
        <family val="2"/>
        <scheme val="minor"/>
      </rPr>
      <t xml:space="preserve"> - Calcule o Total Vendido de cada Aparelho.</t>
    </r>
  </si>
  <si>
    <t>Bônus do Vendedor</t>
  </si>
  <si>
    <r>
      <rPr>
        <b/>
        <sz val="11"/>
        <color rgb="FFFF0000"/>
        <rFont val="Calibri"/>
        <family val="2"/>
        <scheme val="minor"/>
      </rPr>
      <t>Ex. 8</t>
    </r>
    <r>
      <rPr>
        <sz val="11"/>
        <rFont val="Calibri"/>
        <family val="2"/>
        <scheme val="minor"/>
      </rPr>
      <t xml:space="preserve"> - Calcule o Bônus do Vendedor considerando que, se o Total Vendido por cada vendedor for acima de R$ 50.000,00 o bônus será de 3% e se o Total Vendido de cada vendedor for abaixo de R$ 50.000,00 o bônus será de 1%.</t>
    </r>
  </si>
  <si>
    <r>
      <rPr>
        <b/>
        <sz val="11"/>
        <color rgb="FFFF0000"/>
        <rFont val="Calibri"/>
        <family val="2"/>
        <scheme val="minor"/>
      </rPr>
      <t>Ex. 10</t>
    </r>
    <r>
      <rPr>
        <sz val="11"/>
        <rFont val="Calibri"/>
        <family val="2"/>
        <scheme val="minor"/>
      </rPr>
      <t xml:space="preserve"> - realizar a formatação da planilha </t>
    </r>
    <r>
      <rPr>
        <b/>
        <sz val="11"/>
        <rFont val="Calibri"/>
        <family val="2"/>
        <scheme val="minor"/>
      </rPr>
      <t>Exercícios</t>
    </r>
    <r>
      <rPr>
        <sz val="11"/>
        <rFont val="Calibri"/>
        <family val="2"/>
        <scheme val="minor"/>
      </rPr>
      <t xml:space="preserve"> conforme abaixo:
                - Formatar a fonte do título principal para Arial Black, tamanho 24, negrito, sublinhado e itálico, mesclar de acordo com as células preenchidas na planilha, inserir borda superior espessa, cor de preenchimento e cor de fonte diferenciada (cores à escolha).
               - Formatar subtítulos (nome das colunas) com fonte arial, tamanho 14 e negrito, alinhamento centralizado, inserir todas as bordas, cor de preenchimento e cor de fonte diferenciada (cores à escolha).
              - Deixar demais informações da planilha com fonte arial, tamanho 12, alinhamento centralizado, valores de acordo com a sua característica (R$ ou %) e inserir todas as bordas.            </t>
    </r>
  </si>
  <si>
    <t>Ex.  10</t>
  </si>
  <si>
    <t>Formatação Geral</t>
  </si>
  <si>
    <r>
      <rPr>
        <b/>
        <sz val="11"/>
        <color rgb="FFFF0000"/>
        <rFont val="Calibri"/>
        <family val="2"/>
        <scheme val="minor"/>
      </rPr>
      <t xml:space="preserve">Ex. 1.1 </t>
    </r>
    <r>
      <rPr>
        <sz val="11"/>
        <rFont val="Calibri"/>
        <family val="2"/>
        <scheme val="minor"/>
      </rPr>
      <t xml:space="preserve">- Calcule o Total Vendido utilizando a Quantidade Vendida e o Preço Unitário.
</t>
    </r>
    <r>
      <rPr>
        <b/>
        <sz val="11"/>
        <color rgb="FFFF0000"/>
        <rFont val="Calibri"/>
        <family val="2"/>
        <scheme val="minor"/>
      </rPr>
      <t>Ex. 1.2</t>
    </r>
    <r>
      <rPr>
        <sz val="11"/>
        <rFont val="Calibri"/>
        <family val="2"/>
        <scheme val="minor"/>
      </rPr>
      <t xml:space="preserve"> - Calcule os Totais das colunas E até M.</t>
    </r>
  </si>
  <si>
    <t>Curso:</t>
  </si>
  <si>
    <t>Turma:</t>
  </si>
  <si>
    <t xml:space="preserve">Nota </t>
  </si>
  <si>
    <t>Nome:</t>
  </si>
  <si>
    <t>ETEC Prof. Aprígio Gonzaga - Extensão Céu Quinta do Sol</t>
  </si>
  <si>
    <r>
      <rPr>
        <b/>
        <sz val="11"/>
        <color rgb="FFFF0000"/>
        <rFont val="Calibri"/>
        <family val="2"/>
        <scheme val="minor"/>
      </rPr>
      <t xml:space="preserve">Ex. 9 </t>
    </r>
    <r>
      <rPr>
        <sz val="11"/>
        <rFont val="Calibri"/>
        <family val="2"/>
        <scheme val="minor"/>
      </rPr>
      <t>- Calcule o Salário do Vendedor utilizando o Bônus do Vendedor e o Salário Fixo de Vendedor contido na Célula J3 da planilha Exercícios.</t>
    </r>
  </si>
  <si>
    <r>
      <rPr>
        <b/>
        <sz val="11"/>
        <color rgb="FFFF0000"/>
        <rFont val="Calibri"/>
        <family val="2"/>
        <scheme val="minor"/>
      </rPr>
      <t>Ex. 4.1</t>
    </r>
    <r>
      <rPr>
        <sz val="11"/>
        <rFont val="Calibri"/>
        <family val="2"/>
        <scheme val="minor"/>
      </rPr>
      <t xml:space="preserve"> - Calcule o Valor da Entrada utilizando o Total a Pagar e o percentual de Entrada de Pagamento contido na Célula K3 da planilha Exercícios.
</t>
    </r>
    <r>
      <rPr>
        <b/>
        <sz val="11"/>
        <color rgb="FFFF0000"/>
        <rFont val="Calibri"/>
        <family val="2"/>
        <scheme val="minor"/>
      </rPr>
      <t>Ex. 4.2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- Calcule o Saldo Devedor utilizando o Total a Pagar e o Valor da Entrada.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</si>
</sst>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R$ &quot;* #,##0.00_);_(&quot;R$ &quot;* \(#,##0.00\);_(&quot;R$ 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dobe Caslon Pro"/>
      <family val="1"/>
    </font>
    <font>
      <sz val="11"/>
      <color theme="1"/>
      <name val="Adobe Fan Heiti Std B"/>
      <family val="2"/>
      <charset val="128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dobe Fan Heiti Std B"/>
      <family val="2"/>
      <charset val="128"/>
    </font>
    <font>
      <sz val="14"/>
      <color theme="1"/>
      <name val="Adobe Caslon Pro"/>
      <family val="1"/>
    </font>
    <font>
      <sz val="12"/>
      <color theme="1"/>
      <name val="Californian FB"/>
      <family val="1"/>
    </font>
    <font>
      <sz val="12"/>
      <color theme="1"/>
      <name val="Raavi"/>
      <charset val="1"/>
    </font>
    <font>
      <sz val="12"/>
      <color theme="1"/>
      <name val="Nina"/>
      <family val="2"/>
    </font>
    <font>
      <sz val="12"/>
      <color theme="1"/>
      <name val="Perpetua"/>
      <family val="1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3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textRotation="71"/>
    </xf>
    <xf numFmtId="0" fontId="3" fillId="0" borderId="3" xfId="0" applyFont="1" applyBorder="1" applyAlignment="1">
      <alignment horizontal="center" textRotation="7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0" fillId="0" borderId="14" xfId="0" applyBorder="1"/>
    <xf numFmtId="0" fontId="3" fillId="0" borderId="15" xfId="0" applyFont="1" applyBorder="1" applyAlignment="1">
      <alignment horizontal="center" textRotation="71"/>
    </xf>
    <xf numFmtId="0" fontId="0" fillId="0" borderId="16" xfId="0" applyBorder="1"/>
    <xf numFmtId="164" fontId="0" fillId="0" borderId="16" xfId="0" applyNumberFormat="1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6" xfId="0" applyBorder="1" applyAlignment="1">
      <alignment horizont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16" xfId="0" applyNumberFormat="1" applyBorder="1" applyAlignment="1">
      <alignment horizontal="left"/>
    </xf>
    <xf numFmtId="0" fontId="0" fillId="0" borderId="0" xfId="0" applyAlignment="1">
      <alignment vertical="center" wrapText="1"/>
    </xf>
    <xf numFmtId="0" fontId="0" fillId="3" borderId="0" xfId="0" applyFill="1"/>
    <xf numFmtId="0" fontId="10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9" fillId="3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19" fillId="5" borderId="1" xfId="0" applyFont="1" applyFill="1" applyBorder="1" applyAlignment="1">
      <alignment horizontal="center"/>
    </xf>
    <xf numFmtId="164" fontId="19" fillId="5" borderId="1" xfId="0" applyNumberFormat="1" applyFont="1" applyFill="1" applyBorder="1" applyAlignment="1">
      <alignment horizontal="center"/>
    </xf>
    <xf numFmtId="164" fontId="19" fillId="5" borderId="1" xfId="1" applyFont="1" applyFill="1" applyBorder="1" applyAlignment="1">
      <alignment horizontal="center"/>
    </xf>
    <xf numFmtId="0" fontId="17" fillId="4" borderId="1" xfId="0" applyFont="1" applyFill="1" applyBorder="1"/>
    <xf numFmtId="0" fontId="16" fillId="4" borderId="1" xfId="0" applyFont="1" applyFill="1" applyBorder="1"/>
    <xf numFmtId="0" fontId="18" fillId="4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28" xfId="0" applyFont="1" applyBorder="1" applyAlignment="1">
      <alignment horizontal="center" textRotation="71"/>
    </xf>
    <xf numFmtId="0" fontId="0" fillId="3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164" fontId="22" fillId="3" borderId="20" xfId="1" applyFont="1" applyFill="1" applyBorder="1" applyAlignment="1">
      <alignment horizontal="center" vertical="center"/>
    </xf>
    <xf numFmtId="9" fontId="22" fillId="6" borderId="21" xfId="0" applyNumberFormat="1" applyFont="1" applyFill="1" applyBorder="1" applyAlignment="1">
      <alignment horizontal="center" vertical="center"/>
    </xf>
    <xf numFmtId="43" fontId="10" fillId="0" borderId="0" xfId="0" applyNumberFormat="1" applyFont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9" fillId="5" borderId="25" xfId="0" applyFont="1" applyFill="1" applyBorder="1" applyAlignment="1">
      <alignment horizontal="center"/>
    </xf>
    <xf numFmtId="0" fontId="19" fillId="5" borderId="26" xfId="0" applyFont="1" applyFill="1" applyBorder="1" applyAlignment="1">
      <alignment horizontal="center"/>
    </xf>
    <xf numFmtId="0" fontId="19" fillId="5" borderId="27" xfId="0" applyFont="1" applyFill="1" applyBorder="1" applyAlignment="1">
      <alignment horizontal="center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/>
    </xf>
    <xf numFmtId="0" fontId="5" fillId="0" borderId="2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64" fontId="0" fillId="0" borderId="0" xfId="1" applyFont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topLeftCell="G2" workbookViewId="0">
      <selection activeCell="P18" sqref="P18"/>
    </sheetView>
  </sheetViews>
  <sheetFormatPr defaultRowHeight="15"/>
  <cols>
    <col min="1" max="1" width="10.7109375" customWidth="1"/>
    <col min="2" max="2" width="15.85546875" bestFit="1" customWidth="1"/>
    <col min="3" max="3" width="38.42578125" customWidth="1"/>
    <col min="4" max="4" width="11" bestFit="1" customWidth="1"/>
    <col min="5" max="5" width="11.140625" customWidth="1"/>
    <col min="6" max="6" width="15.140625" bestFit="1" customWidth="1"/>
    <col min="7" max="7" width="16" customWidth="1"/>
    <col min="8" max="8" width="14.42578125" customWidth="1"/>
    <col min="9" max="9" width="16.28515625" customWidth="1"/>
    <col min="10" max="10" width="14.42578125" customWidth="1"/>
    <col min="11" max="11" width="16.7109375" customWidth="1"/>
    <col min="12" max="13" width="14.42578125" customWidth="1"/>
    <col min="14" max="14" width="1.5703125" customWidth="1"/>
    <col min="15" max="15" width="21.85546875" customWidth="1"/>
    <col min="16" max="17" width="16" customWidth="1"/>
    <col min="18" max="18" width="15.7109375" customWidth="1"/>
    <col min="19" max="19" width="15.85546875" customWidth="1"/>
    <col min="20" max="20" width="10.7109375" customWidth="1"/>
    <col min="21" max="21" width="12.7109375" customWidth="1"/>
    <col min="22" max="22" width="13.5703125" customWidth="1"/>
    <col min="23" max="23" width="18.42578125" customWidth="1"/>
  </cols>
  <sheetData>
    <row r="1" spans="1:20" ht="30" customHeight="1">
      <c r="A1" s="64" t="s">
        <v>76</v>
      </c>
      <c r="B1" s="64"/>
      <c r="C1" s="64"/>
      <c r="D1" s="64"/>
      <c r="E1" s="64"/>
      <c r="F1" s="64"/>
      <c r="G1" s="64"/>
      <c r="J1" s="62" t="s">
        <v>47</v>
      </c>
      <c r="K1" s="63"/>
    </row>
    <row r="2" spans="1:20" ht="30">
      <c r="A2" s="54" t="s">
        <v>72</v>
      </c>
      <c r="B2" s="65"/>
      <c r="C2" s="65"/>
      <c r="D2" s="54" t="s">
        <v>73</v>
      </c>
      <c r="E2" s="54" t="s">
        <v>74</v>
      </c>
      <c r="F2" s="47"/>
      <c r="J2" s="52" t="s">
        <v>44</v>
      </c>
      <c r="K2" s="53" t="s">
        <v>48</v>
      </c>
    </row>
    <row r="3" spans="1:20" ht="19.5" thickBot="1">
      <c r="A3" s="55" t="s">
        <v>75</v>
      </c>
      <c r="B3" s="66"/>
      <c r="C3" s="66"/>
      <c r="D3" s="66"/>
      <c r="E3" s="66"/>
      <c r="F3" s="66"/>
      <c r="J3" s="56">
        <v>1300</v>
      </c>
      <c r="K3" s="57">
        <v>0.3</v>
      </c>
    </row>
    <row r="4" spans="1:20" ht="18.75">
      <c r="A4" s="55" t="s">
        <v>75</v>
      </c>
      <c r="B4" s="66"/>
      <c r="C4" s="66"/>
      <c r="D4" s="66"/>
      <c r="E4" s="66"/>
      <c r="F4" s="66"/>
    </row>
    <row r="6" spans="1:20" ht="15.75" thickBot="1"/>
    <row r="7" spans="1:20">
      <c r="A7" t="s">
        <v>25</v>
      </c>
      <c r="N7" s="26"/>
      <c r="O7" s="59" t="s">
        <v>45</v>
      </c>
      <c r="P7" s="60"/>
      <c r="Q7" s="60"/>
      <c r="R7" s="60"/>
      <c r="S7" s="61"/>
    </row>
    <row r="8" spans="1:20" ht="48.75" customHeight="1">
      <c r="G8" s="3" t="s">
        <v>30</v>
      </c>
      <c r="H8" s="3" t="s">
        <v>31</v>
      </c>
      <c r="I8" s="3" t="s">
        <v>32</v>
      </c>
      <c r="J8" s="3" t="s">
        <v>57</v>
      </c>
      <c r="K8" s="3" t="s">
        <v>58</v>
      </c>
      <c r="L8" s="3" t="s">
        <v>59</v>
      </c>
      <c r="M8" s="4" t="s">
        <v>60</v>
      </c>
      <c r="N8" s="26"/>
      <c r="O8" s="7"/>
      <c r="P8" s="4" t="s">
        <v>61</v>
      </c>
      <c r="Q8" s="4" t="s">
        <v>64</v>
      </c>
      <c r="R8" s="4" t="s">
        <v>37</v>
      </c>
      <c r="S8" s="8" t="s">
        <v>43</v>
      </c>
    </row>
    <row r="9" spans="1:20" ht="30" customHeight="1">
      <c r="A9" s="22" t="s">
        <v>9</v>
      </c>
      <c r="B9" s="22" t="s">
        <v>0</v>
      </c>
      <c r="C9" s="23" t="s">
        <v>10</v>
      </c>
      <c r="D9" s="23" t="s">
        <v>17</v>
      </c>
      <c r="E9" s="2" t="s">
        <v>21</v>
      </c>
      <c r="F9" s="1" t="s">
        <v>50</v>
      </c>
      <c r="G9" t="s">
        <v>51</v>
      </c>
      <c r="H9" t="s">
        <v>26</v>
      </c>
      <c r="I9" t="s">
        <v>27</v>
      </c>
      <c r="J9" t="s">
        <v>38</v>
      </c>
      <c r="K9" t="s">
        <v>41</v>
      </c>
      <c r="L9" s="5" t="s">
        <v>42</v>
      </c>
      <c r="M9" s="5" t="s">
        <v>40</v>
      </c>
      <c r="N9" s="26"/>
      <c r="O9" s="7" t="s">
        <v>23</v>
      </c>
      <c r="P9" s="5" t="s">
        <v>24</v>
      </c>
      <c r="Q9" s="5" t="s">
        <v>51</v>
      </c>
      <c r="R9" s="2" t="s">
        <v>66</v>
      </c>
      <c r="S9" s="15" t="s">
        <v>39</v>
      </c>
    </row>
    <row r="10" spans="1:20" ht="15.75">
      <c r="A10" s="40">
        <v>5210</v>
      </c>
      <c r="B10" s="40" t="s">
        <v>1</v>
      </c>
      <c r="C10" s="40" t="s">
        <v>11</v>
      </c>
      <c r="D10" s="40" t="s">
        <v>18</v>
      </c>
      <c r="E10" s="40">
        <v>2</v>
      </c>
      <c r="F10" s="42">
        <v>1200</v>
      </c>
      <c r="G10" s="42">
        <v>2400</v>
      </c>
      <c r="H10" s="42">
        <v>120</v>
      </c>
      <c r="I10" s="42">
        <v>2280</v>
      </c>
      <c r="J10" s="42">
        <v>684</v>
      </c>
      <c r="K10" s="42">
        <v>1596</v>
      </c>
      <c r="L10" s="40">
        <v>2</v>
      </c>
      <c r="M10" s="42">
        <v>798</v>
      </c>
      <c r="N10" s="38"/>
      <c r="O10" s="40" t="s">
        <v>1</v>
      </c>
      <c r="P10" s="40">
        <v>9</v>
      </c>
      <c r="Q10" s="42">
        <v>57800</v>
      </c>
      <c r="R10" s="42">
        <v>1734</v>
      </c>
      <c r="S10" s="41">
        <v>3034</v>
      </c>
      <c r="T10" s="39" t="s">
        <v>49</v>
      </c>
    </row>
    <row r="11" spans="1:20">
      <c r="A11">
        <v>5211</v>
      </c>
      <c r="B11" s="23" t="s">
        <v>2</v>
      </c>
      <c r="C11" s="23" t="s">
        <v>12</v>
      </c>
      <c r="D11" s="27" t="s">
        <v>18</v>
      </c>
      <c r="E11" s="28">
        <v>7</v>
      </c>
      <c r="F11" s="28">
        <v>250</v>
      </c>
      <c r="G11" s="30">
        <f>(E11*F11)</f>
        <v>1750</v>
      </c>
      <c r="H11" s="30">
        <f>IF(G11 &gt; 5000, G11 * 10%, G11 * 5%)</f>
        <v>87.5</v>
      </c>
      <c r="I11" s="30">
        <f>(G11-H11)</f>
        <v>1662.5</v>
      </c>
      <c r="J11" s="58">
        <f>(I11*30%)</f>
        <v>498.75</v>
      </c>
      <c r="K11" s="58">
        <f>(I11-J11)</f>
        <v>1163.75</v>
      </c>
      <c r="L11" s="84">
        <f>IF(K11&gt;10000, 3, 2)</f>
        <v>2</v>
      </c>
      <c r="M11" s="83">
        <f t="shared" ref="M11:M55" si="0">(K11/L11)</f>
        <v>581.875</v>
      </c>
      <c r="N11" s="26"/>
      <c r="O11" s="20" t="s">
        <v>2</v>
      </c>
      <c r="P11" s="1">
        <f>SUMIF(B11:B55,O11,E11:E55)</f>
        <v>59</v>
      </c>
      <c r="Q11" s="22"/>
      <c r="R11" s="48"/>
      <c r="S11" s="24"/>
    </row>
    <row r="12" spans="1:20">
      <c r="A12">
        <v>5210</v>
      </c>
      <c r="B12" s="23" t="s">
        <v>1</v>
      </c>
      <c r="C12" s="23" t="s">
        <v>13</v>
      </c>
      <c r="D12" s="27" t="s">
        <v>19</v>
      </c>
      <c r="E12" s="28">
        <v>10</v>
      </c>
      <c r="F12" s="28">
        <v>1700</v>
      </c>
      <c r="G12" s="30">
        <f t="shared" ref="G12:G55" si="1">(E12*F12)</f>
        <v>17000</v>
      </c>
      <c r="H12" s="30">
        <f t="shared" ref="H12:H55" si="2">IF(G12 &gt; 5000, G12 * 10%, G12 * 5%)</f>
        <v>1700</v>
      </c>
      <c r="I12" s="30">
        <f t="shared" ref="I12:I55" si="3">(G12-H12)</f>
        <v>15300</v>
      </c>
      <c r="J12" s="58">
        <f t="shared" ref="J12:J55" si="4">(I12*30%)</f>
        <v>4590</v>
      </c>
      <c r="K12" s="58">
        <f t="shared" ref="K12:K55" si="5">(I12-J12)</f>
        <v>10710</v>
      </c>
      <c r="L12" s="84">
        <f t="shared" ref="L12:L55" si="6">IF(K12&gt;10000, 3, 2)</f>
        <v>3</v>
      </c>
      <c r="M12" s="83">
        <f t="shared" si="0"/>
        <v>3570</v>
      </c>
      <c r="N12" s="26"/>
      <c r="O12" s="20" t="s">
        <v>3</v>
      </c>
      <c r="P12" s="1">
        <f t="shared" ref="P12:P17" si="7">SUMIF(B12:B56,O12,E12:E56)</f>
        <v>72</v>
      </c>
      <c r="Q12" s="22"/>
      <c r="R12" s="1"/>
      <c r="S12" s="24"/>
    </row>
    <row r="13" spans="1:20">
      <c r="A13">
        <v>5212</v>
      </c>
      <c r="B13" s="23" t="s">
        <v>3</v>
      </c>
      <c r="C13" s="23" t="s">
        <v>14</v>
      </c>
      <c r="D13" s="27" t="s">
        <v>18</v>
      </c>
      <c r="E13" s="28">
        <v>15</v>
      </c>
      <c r="F13" s="28">
        <v>820</v>
      </c>
      <c r="G13" s="30">
        <f t="shared" si="1"/>
        <v>12300</v>
      </c>
      <c r="H13" s="30">
        <f t="shared" si="2"/>
        <v>1230</v>
      </c>
      <c r="I13" s="30">
        <f t="shared" si="3"/>
        <v>11070</v>
      </c>
      <c r="J13" s="58">
        <f t="shared" si="4"/>
        <v>3321</v>
      </c>
      <c r="K13" s="58">
        <f t="shared" si="5"/>
        <v>7749</v>
      </c>
      <c r="L13" s="84">
        <f t="shared" si="6"/>
        <v>2</v>
      </c>
      <c r="M13" s="83">
        <f t="shared" si="0"/>
        <v>3874.5</v>
      </c>
      <c r="N13" s="26"/>
      <c r="O13" s="20" t="s">
        <v>4</v>
      </c>
      <c r="P13" s="1">
        <f t="shared" si="7"/>
        <v>43</v>
      </c>
      <c r="Q13" s="22"/>
      <c r="R13" s="1"/>
      <c r="S13" s="24"/>
    </row>
    <row r="14" spans="1:20">
      <c r="A14">
        <v>5213</v>
      </c>
      <c r="B14" s="23" t="s">
        <v>4</v>
      </c>
      <c r="C14" s="23" t="s">
        <v>14</v>
      </c>
      <c r="D14" s="27" t="s">
        <v>19</v>
      </c>
      <c r="E14" s="28">
        <v>20</v>
      </c>
      <c r="F14" s="28">
        <v>820</v>
      </c>
      <c r="G14" s="30">
        <f t="shared" si="1"/>
        <v>16400</v>
      </c>
      <c r="H14" s="30">
        <f t="shared" si="2"/>
        <v>1640</v>
      </c>
      <c r="I14" s="30">
        <f t="shared" si="3"/>
        <v>14760</v>
      </c>
      <c r="J14" s="58">
        <f t="shared" si="4"/>
        <v>4428</v>
      </c>
      <c r="K14" s="58">
        <f t="shared" si="5"/>
        <v>10332</v>
      </c>
      <c r="L14" s="84">
        <f t="shared" si="6"/>
        <v>3</v>
      </c>
      <c r="M14" s="83">
        <f t="shared" si="0"/>
        <v>3444</v>
      </c>
      <c r="N14" s="26"/>
      <c r="O14" s="7" t="s">
        <v>5</v>
      </c>
      <c r="P14" s="1">
        <f t="shared" si="7"/>
        <v>66</v>
      </c>
      <c r="S14" s="24"/>
    </row>
    <row r="15" spans="1:20">
      <c r="A15">
        <v>5211</v>
      </c>
      <c r="B15" s="23" t="s">
        <v>2</v>
      </c>
      <c r="C15" s="23" t="s">
        <v>13</v>
      </c>
      <c r="D15" s="27" t="s">
        <v>28</v>
      </c>
      <c r="E15" s="28">
        <v>4</v>
      </c>
      <c r="F15" s="28">
        <v>1700</v>
      </c>
      <c r="G15" s="30">
        <f t="shared" si="1"/>
        <v>6800</v>
      </c>
      <c r="H15" s="30">
        <f t="shared" si="2"/>
        <v>680</v>
      </c>
      <c r="I15" s="30">
        <f t="shared" si="3"/>
        <v>6120</v>
      </c>
      <c r="J15" s="58">
        <f t="shared" si="4"/>
        <v>1836</v>
      </c>
      <c r="K15" s="58">
        <f t="shared" si="5"/>
        <v>4284</v>
      </c>
      <c r="L15" s="84">
        <f t="shared" si="6"/>
        <v>2</v>
      </c>
      <c r="M15" s="83">
        <f t="shared" si="0"/>
        <v>2142</v>
      </c>
      <c r="N15" s="26"/>
      <c r="O15" s="21" t="s">
        <v>6</v>
      </c>
      <c r="P15" s="1">
        <f t="shared" si="7"/>
        <v>91</v>
      </c>
      <c r="Q15" s="1"/>
      <c r="S15" s="24"/>
    </row>
    <row r="16" spans="1:20">
      <c r="A16">
        <v>5214</v>
      </c>
      <c r="B16" s="23" t="s">
        <v>5</v>
      </c>
      <c r="C16" s="23" t="s">
        <v>11</v>
      </c>
      <c r="D16" s="27" t="s">
        <v>28</v>
      </c>
      <c r="E16" s="28">
        <v>10</v>
      </c>
      <c r="F16" s="28">
        <v>1200</v>
      </c>
      <c r="G16" s="30">
        <f t="shared" si="1"/>
        <v>12000</v>
      </c>
      <c r="H16" s="30">
        <f t="shared" si="2"/>
        <v>1200</v>
      </c>
      <c r="I16" s="30">
        <f t="shared" si="3"/>
        <v>10800</v>
      </c>
      <c r="J16" s="58">
        <f t="shared" si="4"/>
        <v>3240</v>
      </c>
      <c r="K16" s="58">
        <f t="shared" si="5"/>
        <v>7560</v>
      </c>
      <c r="L16" s="84">
        <f t="shared" si="6"/>
        <v>2</v>
      </c>
      <c r="M16" s="83">
        <f t="shared" si="0"/>
        <v>3780</v>
      </c>
      <c r="N16" s="26"/>
      <c r="O16" s="20" t="s">
        <v>7</v>
      </c>
      <c r="P16" s="1">
        <f t="shared" si="7"/>
        <v>63</v>
      </c>
      <c r="Q16" s="1"/>
      <c r="S16" s="10"/>
    </row>
    <row r="17" spans="1:19">
      <c r="A17">
        <v>5211</v>
      </c>
      <c r="B17" s="23" t="s">
        <v>2</v>
      </c>
      <c r="C17" s="23" t="s">
        <v>15</v>
      </c>
      <c r="D17" s="23" t="s">
        <v>18</v>
      </c>
      <c r="E17" s="29">
        <v>28</v>
      </c>
      <c r="F17" s="29">
        <v>670</v>
      </c>
      <c r="G17" s="30">
        <f t="shared" si="1"/>
        <v>18760</v>
      </c>
      <c r="H17" s="30">
        <f t="shared" si="2"/>
        <v>1876</v>
      </c>
      <c r="I17" s="30">
        <f t="shared" si="3"/>
        <v>16884</v>
      </c>
      <c r="J17" s="58">
        <f t="shared" si="4"/>
        <v>5065.2</v>
      </c>
      <c r="K17" s="58">
        <f t="shared" si="5"/>
        <v>11818.8</v>
      </c>
      <c r="L17" s="84">
        <f t="shared" si="6"/>
        <v>3</v>
      </c>
      <c r="M17" s="83">
        <f t="shared" si="0"/>
        <v>3939.6</v>
      </c>
      <c r="N17" s="26"/>
      <c r="O17" s="21" t="s">
        <v>8</v>
      </c>
      <c r="P17" s="1">
        <f t="shared" si="7"/>
        <v>52</v>
      </c>
      <c r="Q17" s="23"/>
      <c r="R17" s="23"/>
      <c r="S17" s="10"/>
    </row>
    <row r="18" spans="1:19">
      <c r="A18">
        <v>5214</v>
      </c>
      <c r="B18" s="23" t="s">
        <v>5</v>
      </c>
      <c r="C18" s="23" t="s">
        <v>12</v>
      </c>
      <c r="D18" s="23" t="s">
        <v>19</v>
      </c>
      <c r="E18" s="23">
        <v>35</v>
      </c>
      <c r="F18" s="23">
        <v>250</v>
      </c>
      <c r="G18" s="30">
        <f t="shared" si="1"/>
        <v>8750</v>
      </c>
      <c r="H18" s="30">
        <f t="shared" si="2"/>
        <v>875</v>
      </c>
      <c r="I18" s="30">
        <f t="shared" si="3"/>
        <v>7875</v>
      </c>
      <c r="J18" s="58">
        <f t="shared" si="4"/>
        <v>2362.5</v>
      </c>
      <c r="K18" s="58">
        <f t="shared" si="5"/>
        <v>5512.5</v>
      </c>
      <c r="L18" s="84">
        <f t="shared" si="6"/>
        <v>2</v>
      </c>
      <c r="M18" s="83">
        <f t="shared" si="0"/>
        <v>2756.25</v>
      </c>
      <c r="N18" s="26"/>
      <c r="O18" s="7" t="s">
        <v>46</v>
      </c>
      <c r="P18" s="23"/>
      <c r="Q18" s="23"/>
      <c r="R18" s="23"/>
      <c r="S18" s="11"/>
    </row>
    <row r="19" spans="1:19">
      <c r="A19">
        <v>5215</v>
      </c>
      <c r="B19" s="23" t="s">
        <v>6</v>
      </c>
      <c r="C19" s="23" t="s">
        <v>15</v>
      </c>
      <c r="D19" s="23" t="s">
        <v>19</v>
      </c>
      <c r="E19" s="23">
        <v>17</v>
      </c>
      <c r="F19" s="23">
        <v>670</v>
      </c>
      <c r="G19" s="30">
        <f t="shared" si="1"/>
        <v>11390</v>
      </c>
      <c r="H19" s="30">
        <f t="shared" si="2"/>
        <v>1139</v>
      </c>
      <c r="I19" s="30">
        <f t="shared" si="3"/>
        <v>10251</v>
      </c>
      <c r="J19" s="58">
        <f t="shared" si="4"/>
        <v>3075.2999999999997</v>
      </c>
      <c r="K19" s="58">
        <f t="shared" si="5"/>
        <v>7175.7000000000007</v>
      </c>
      <c r="L19" s="84">
        <f t="shared" si="6"/>
        <v>2</v>
      </c>
      <c r="M19" s="83">
        <f t="shared" si="0"/>
        <v>3587.8500000000004</v>
      </c>
      <c r="N19" s="26"/>
      <c r="O19" s="7"/>
      <c r="P19" s="23"/>
      <c r="Q19" s="23"/>
      <c r="R19" s="23"/>
      <c r="S19" s="9"/>
    </row>
    <row r="20" spans="1:19" ht="18.75">
      <c r="A20">
        <v>5215</v>
      </c>
      <c r="B20" s="23" t="s">
        <v>6</v>
      </c>
      <c r="C20" s="1" t="s">
        <v>16</v>
      </c>
      <c r="D20" s="31" t="s">
        <v>28</v>
      </c>
      <c r="E20" s="32">
        <v>42</v>
      </c>
      <c r="F20" s="32">
        <v>1350</v>
      </c>
      <c r="G20" s="30">
        <f t="shared" si="1"/>
        <v>56700</v>
      </c>
      <c r="H20" s="30">
        <f t="shared" si="2"/>
        <v>5670</v>
      </c>
      <c r="I20" s="30">
        <f t="shared" si="3"/>
        <v>51030</v>
      </c>
      <c r="J20" s="58">
        <f t="shared" si="4"/>
        <v>15309</v>
      </c>
      <c r="K20" s="58">
        <f t="shared" si="5"/>
        <v>35721</v>
      </c>
      <c r="L20" s="84">
        <f t="shared" si="6"/>
        <v>3</v>
      </c>
      <c r="M20" s="83">
        <f t="shared" si="0"/>
        <v>11907</v>
      </c>
      <c r="N20" s="26"/>
      <c r="O20" s="7"/>
      <c r="P20" s="1"/>
      <c r="S20" s="9"/>
    </row>
    <row r="21" spans="1:19" ht="18.75">
      <c r="A21">
        <v>5216</v>
      </c>
      <c r="B21" t="s">
        <v>7</v>
      </c>
      <c r="C21" s="1" t="s">
        <v>11</v>
      </c>
      <c r="D21" s="31" t="s">
        <v>28</v>
      </c>
      <c r="E21" s="32">
        <v>18</v>
      </c>
      <c r="F21" s="32">
        <v>1200</v>
      </c>
      <c r="G21" s="30">
        <f t="shared" si="1"/>
        <v>21600</v>
      </c>
      <c r="H21" s="30">
        <f t="shared" si="2"/>
        <v>2160</v>
      </c>
      <c r="I21" s="30">
        <f t="shared" si="3"/>
        <v>19440</v>
      </c>
      <c r="J21" s="58">
        <f t="shared" si="4"/>
        <v>5832</v>
      </c>
      <c r="K21" s="58">
        <f t="shared" si="5"/>
        <v>13608</v>
      </c>
      <c r="L21" s="84">
        <f t="shared" si="6"/>
        <v>3</v>
      </c>
      <c r="M21" s="83">
        <f t="shared" si="0"/>
        <v>4536</v>
      </c>
      <c r="N21" s="26"/>
      <c r="O21" s="7"/>
      <c r="P21" s="6" t="s">
        <v>62</v>
      </c>
      <c r="Q21" s="6" t="s">
        <v>63</v>
      </c>
      <c r="S21" s="9"/>
    </row>
    <row r="22" spans="1:19" ht="30">
      <c r="A22">
        <v>5217</v>
      </c>
      <c r="B22" t="s">
        <v>8</v>
      </c>
      <c r="C22" s="1" t="s">
        <v>16</v>
      </c>
      <c r="D22" s="31" t="s">
        <v>20</v>
      </c>
      <c r="E22" s="32">
        <v>44</v>
      </c>
      <c r="F22" s="32">
        <v>1350</v>
      </c>
      <c r="G22" s="30">
        <f t="shared" si="1"/>
        <v>59400</v>
      </c>
      <c r="H22" s="30">
        <f t="shared" si="2"/>
        <v>5940</v>
      </c>
      <c r="I22" s="30">
        <f t="shared" si="3"/>
        <v>53460</v>
      </c>
      <c r="J22" s="58">
        <f t="shared" si="4"/>
        <v>16038</v>
      </c>
      <c r="K22" s="58">
        <f t="shared" si="5"/>
        <v>37422</v>
      </c>
      <c r="L22" s="84">
        <f t="shared" si="6"/>
        <v>3</v>
      </c>
      <c r="M22" s="83">
        <f t="shared" si="0"/>
        <v>12474</v>
      </c>
      <c r="N22" s="26"/>
      <c r="O22" s="7" t="s">
        <v>10</v>
      </c>
      <c r="P22" s="25" t="s">
        <v>24</v>
      </c>
      <c r="Q22" s="5" t="s">
        <v>51</v>
      </c>
      <c r="S22" s="9"/>
    </row>
    <row r="23" spans="1:19">
      <c r="A23">
        <v>5210</v>
      </c>
      <c r="B23" t="s">
        <v>1</v>
      </c>
      <c r="C23" s="1" t="s">
        <v>12</v>
      </c>
      <c r="D23" s="1" t="s">
        <v>20</v>
      </c>
      <c r="E23" s="1">
        <v>28</v>
      </c>
      <c r="F23" s="1">
        <v>250</v>
      </c>
      <c r="G23" s="30">
        <f t="shared" si="1"/>
        <v>7000</v>
      </c>
      <c r="H23" s="30">
        <f t="shared" si="2"/>
        <v>700</v>
      </c>
      <c r="I23" s="30">
        <f t="shared" si="3"/>
        <v>6300</v>
      </c>
      <c r="J23" s="58">
        <f t="shared" si="4"/>
        <v>1890</v>
      </c>
      <c r="K23" s="58">
        <f t="shared" si="5"/>
        <v>4410</v>
      </c>
      <c r="L23" s="84">
        <f t="shared" si="6"/>
        <v>2</v>
      </c>
      <c r="M23" s="83">
        <f t="shared" si="0"/>
        <v>2205</v>
      </c>
      <c r="N23" s="26"/>
      <c r="O23" s="21" t="s">
        <v>14</v>
      </c>
      <c r="S23" s="9"/>
    </row>
    <row r="24" spans="1:19">
      <c r="A24">
        <v>5212</v>
      </c>
      <c r="B24" t="s">
        <v>3</v>
      </c>
      <c r="C24" s="1" t="s">
        <v>12</v>
      </c>
      <c r="D24" s="33" t="s">
        <v>20</v>
      </c>
      <c r="E24" s="33">
        <v>35</v>
      </c>
      <c r="F24" s="33">
        <v>250</v>
      </c>
      <c r="G24" s="30">
        <f t="shared" si="1"/>
        <v>8750</v>
      </c>
      <c r="H24" s="30">
        <f t="shared" si="2"/>
        <v>875</v>
      </c>
      <c r="I24" s="30">
        <f t="shared" si="3"/>
        <v>7875</v>
      </c>
      <c r="J24" s="58">
        <f t="shared" si="4"/>
        <v>2362.5</v>
      </c>
      <c r="K24" s="58">
        <f t="shared" si="5"/>
        <v>5512.5</v>
      </c>
      <c r="L24" s="84">
        <f t="shared" si="6"/>
        <v>2</v>
      </c>
      <c r="M24" s="83">
        <f t="shared" si="0"/>
        <v>2756.25</v>
      </c>
      <c r="N24" s="26"/>
      <c r="O24" s="7" t="s">
        <v>12</v>
      </c>
      <c r="S24" s="9"/>
    </row>
    <row r="25" spans="1:19">
      <c r="A25">
        <v>5216</v>
      </c>
      <c r="B25" t="s">
        <v>7</v>
      </c>
      <c r="C25" s="1" t="s">
        <v>15</v>
      </c>
      <c r="D25" s="33" t="s">
        <v>20</v>
      </c>
      <c r="E25" s="33">
        <v>20</v>
      </c>
      <c r="F25" s="33">
        <v>670</v>
      </c>
      <c r="G25" s="30">
        <f t="shared" si="1"/>
        <v>13400</v>
      </c>
      <c r="H25" s="30">
        <f t="shared" si="2"/>
        <v>1340</v>
      </c>
      <c r="I25" s="30">
        <f t="shared" si="3"/>
        <v>12060</v>
      </c>
      <c r="J25" s="58">
        <f t="shared" si="4"/>
        <v>3618</v>
      </c>
      <c r="K25" s="58">
        <f t="shared" si="5"/>
        <v>8442</v>
      </c>
      <c r="L25" s="84">
        <f t="shared" si="6"/>
        <v>2</v>
      </c>
      <c r="M25" s="83">
        <f t="shared" si="0"/>
        <v>4221</v>
      </c>
      <c r="N25" s="26"/>
      <c r="O25" s="20" t="s">
        <v>11</v>
      </c>
      <c r="S25" s="9"/>
    </row>
    <row r="26" spans="1:19">
      <c r="A26">
        <v>5210</v>
      </c>
      <c r="B26" t="s">
        <v>1</v>
      </c>
      <c r="C26" s="1" t="s">
        <v>11</v>
      </c>
      <c r="D26" s="33" t="s">
        <v>18</v>
      </c>
      <c r="E26" s="33">
        <v>2</v>
      </c>
      <c r="F26" s="33">
        <v>1200</v>
      </c>
      <c r="G26" s="30">
        <f t="shared" si="1"/>
        <v>2400</v>
      </c>
      <c r="H26" s="30">
        <f t="shared" si="2"/>
        <v>120</v>
      </c>
      <c r="I26" s="30">
        <f t="shared" si="3"/>
        <v>2280</v>
      </c>
      <c r="J26" s="58">
        <f t="shared" si="4"/>
        <v>684</v>
      </c>
      <c r="K26" s="58">
        <f t="shared" si="5"/>
        <v>1596</v>
      </c>
      <c r="L26" s="84">
        <f t="shared" si="6"/>
        <v>2</v>
      </c>
      <c r="M26" s="83">
        <f t="shared" si="0"/>
        <v>798</v>
      </c>
      <c r="N26" s="26"/>
      <c r="O26" s="21" t="s">
        <v>16</v>
      </c>
      <c r="S26" s="9"/>
    </row>
    <row r="27" spans="1:19" ht="15.75" thickBot="1">
      <c r="A27">
        <v>5211</v>
      </c>
      <c r="B27" t="s">
        <v>2</v>
      </c>
      <c r="C27" s="1" t="s">
        <v>12</v>
      </c>
      <c r="D27" s="33" t="s">
        <v>18</v>
      </c>
      <c r="E27" s="33">
        <v>7</v>
      </c>
      <c r="F27" s="33">
        <v>250</v>
      </c>
      <c r="G27" s="30">
        <f t="shared" si="1"/>
        <v>1750</v>
      </c>
      <c r="H27" s="30">
        <f t="shared" si="2"/>
        <v>87.5</v>
      </c>
      <c r="I27" s="30">
        <f t="shared" si="3"/>
        <v>1662.5</v>
      </c>
      <c r="J27" s="58">
        <f t="shared" si="4"/>
        <v>498.75</v>
      </c>
      <c r="K27" s="58">
        <f t="shared" si="5"/>
        <v>1163.75</v>
      </c>
      <c r="L27" s="84">
        <f t="shared" si="6"/>
        <v>2</v>
      </c>
      <c r="M27" s="83">
        <f t="shared" si="0"/>
        <v>581.875</v>
      </c>
      <c r="N27" s="26"/>
      <c r="O27" s="12" t="s">
        <v>13</v>
      </c>
      <c r="P27" s="13"/>
      <c r="Q27" s="13"/>
      <c r="R27" s="13"/>
      <c r="S27" s="14"/>
    </row>
    <row r="28" spans="1:19">
      <c r="A28">
        <v>5210</v>
      </c>
      <c r="B28" t="s">
        <v>1</v>
      </c>
      <c r="C28" s="1" t="s">
        <v>13</v>
      </c>
      <c r="D28" s="33" t="s">
        <v>19</v>
      </c>
      <c r="E28" s="33">
        <v>10</v>
      </c>
      <c r="F28" s="33">
        <v>1700</v>
      </c>
      <c r="G28" s="30">
        <f t="shared" si="1"/>
        <v>17000</v>
      </c>
      <c r="H28" s="30">
        <f t="shared" si="2"/>
        <v>1700</v>
      </c>
      <c r="I28" s="30">
        <f t="shared" si="3"/>
        <v>15300</v>
      </c>
      <c r="J28" s="58">
        <f t="shared" si="4"/>
        <v>4590</v>
      </c>
      <c r="K28" s="58">
        <f t="shared" si="5"/>
        <v>10710</v>
      </c>
      <c r="L28" s="84">
        <f t="shared" si="6"/>
        <v>3</v>
      </c>
      <c r="M28" s="83">
        <f t="shared" si="0"/>
        <v>3570</v>
      </c>
      <c r="N28" s="26"/>
    </row>
    <row r="29" spans="1:19">
      <c r="A29">
        <v>5212</v>
      </c>
      <c r="B29" t="s">
        <v>3</v>
      </c>
      <c r="C29" s="1" t="s">
        <v>14</v>
      </c>
      <c r="D29" s="1" t="s">
        <v>28</v>
      </c>
      <c r="E29" s="1">
        <v>15</v>
      </c>
      <c r="F29" s="1">
        <v>820</v>
      </c>
      <c r="G29" s="30">
        <f t="shared" si="1"/>
        <v>12300</v>
      </c>
      <c r="H29" s="30">
        <f t="shared" si="2"/>
        <v>1230</v>
      </c>
      <c r="I29" s="30">
        <f t="shared" si="3"/>
        <v>11070</v>
      </c>
      <c r="J29" s="58">
        <f t="shared" si="4"/>
        <v>3321</v>
      </c>
      <c r="K29" s="58">
        <f t="shared" si="5"/>
        <v>7749</v>
      </c>
      <c r="L29" s="84">
        <f t="shared" si="6"/>
        <v>2</v>
      </c>
      <c r="M29" s="83">
        <f t="shared" si="0"/>
        <v>3874.5</v>
      </c>
      <c r="N29" s="26"/>
    </row>
    <row r="30" spans="1:19">
      <c r="A30">
        <v>5213</v>
      </c>
      <c r="B30" t="s">
        <v>4</v>
      </c>
      <c r="C30" t="s">
        <v>14</v>
      </c>
      <c r="D30" t="s">
        <v>19</v>
      </c>
      <c r="E30">
        <v>20</v>
      </c>
      <c r="F30">
        <v>820</v>
      </c>
      <c r="G30" s="30">
        <f t="shared" si="1"/>
        <v>16400</v>
      </c>
      <c r="H30" s="30">
        <f t="shared" si="2"/>
        <v>1640</v>
      </c>
      <c r="I30" s="30">
        <f t="shared" si="3"/>
        <v>14760</v>
      </c>
      <c r="J30" s="58">
        <f t="shared" si="4"/>
        <v>4428</v>
      </c>
      <c r="K30" s="58">
        <f t="shared" si="5"/>
        <v>10332</v>
      </c>
      <c r="L30" s="84">
        <f t="shared" si="6"/>
        <v>3</v>
      </c>
      <c r="M30" s="83">
        <f t="shared" si="0"/>
        <v>3444</v>
      </c>
      <c r="N30" s="26"/>
    </row>
    <row r="31" spans="1:19">
      <c r="A31" s="1">
        <v>5211</v>
      </c>
      <c r="B31" s="1" t="s">
        <v>2</v>
      </c>
      <c r="C31" s="1" t="s">
        <v>13</v>
      </c>
      <c r="D31" s="1" t="s">
        <v>28</v>
      </c>
      <c r="E31" s="1">
        <v>4</v>
      </c>
      <c r="F31" s="1">
        <v>1700</v>
      </c>
      <c r="G31" s="30">
        <f t="shared" si="1"/>
        <v>6800</v>
      </c>
      <c r="H31" s="30">
        <f t="shared" si="2"/>
        <v>680</v>
      </c>
      <c r="I31" s="30">
        <f t="shared" si="3"/>
        <v>6120</v>
      </c>
      <c r="J31" s="58">
        <f t="shared" si="4"/>
        <v>1836</v>
      </c>
      <c r="K31" s="58">
        <f t="shared" si="5"/>
        <v>4284</v>
      </c>
      <c r="L31" s="84">
        <f t="shared" si="6"/>
        <v>2</v>
      </c>
      <c r="M31" s="83">
        <f t="shared" si="0"/>
        <v>2142</v>
      </c>
      <c r="N31" s="26"/>
    </row>
    <row r="32" spans="1:19">
      <c r="A32" s="1">
        <v>5214</v>
      </c>
      <c r="B32" s="1" t="s">
        <v>5</v>
      </c>
      <c r="C32" s="1" t="s">
        <v>11</v>
      </c>
      <c r="D32" s="1" t="s">
        <v>28</v>
      </c>
      <c r="E32" s="1">
        <v>10</v>
      </c>
      <c r="F32" s="1">
        <v>1200</v>
      </c>
      <c r="G32" s="30">
        <f t="shared" si="1"/>
        <v>12000</v>
      </c>
      <c r="H32" s="30">
        <f t="shared" si="2"/>
        <v>1200</v>
      </c>
      <c r="I32" s="30">
        <f t="shared" si="3"/>
        <v>10800</v>
      </c>
      <c r="J32" s="58">
        <f t="shared" si="4"/>
        <v>3240</v>
      </c>
      <c r="K32" s="58">
        <f t="shared" si="5"/>
        <v>7560</v>
      </c>
      <c r="L32" s="84">
        <f t="shared" si="6"/>
        <v>2</v>
      </c>
      <c r="M32" s="83">
        <f t="shared" si="0"/>
        <v>3780</v>
      </c>
      <c r="N32" s="26"/>
    </row>
    <row r="33" spans="1:14">
      <c r="A33">
        <v>5211</v>
      </c>
      <c r="B33" t="s">
        <v>2</v>
      </c>
      <c r="C33" t="s">
        <v>15</v>
      </c>
      <c r="D33" t="s">
        <v>18</v>
      </c>
      <c r="E33">
        <v>2</v>
      </c>
      <c r="F33">
        <v>670</v>
      </c>
      <c r="G33" s="30">
        <f t="shared" si="1"/>
        <v>1340</v>
      </c>
      <c r="H33" s="30">
        <f t="shared" si="2"/>
        <v>67</v>
      </c>
      <c r="I33" s="30">
        <f t="shared" si="3"/>
        <v>1273</v>
      </c>
      <c r="J33" s="58">
        <f t="shared" si="4"/>
        <v>381.9</v>
      </c>
      <c r="K33" s="58">
        <f t="shared" si="5"/>
        <v>891.1</v>
      </c>
      <c r="L33" s="84">
        <f t="shared" si="6"/>
        <v>2</v>
      </c>
      <c r="M33" s="83">
        <f t="shared" si="0"/>
        <v>445.55</v>
      </c>
      <c r="N33" s="26"/>
    </row>
    <row r="34" spans="1:14">
      <c r="A34">
        <v>5214</v>
      </c>
      <c r="B34" t="s">
        <v>5</v>
      </c>
      <c r="C34" t="s">
        <v>12</v>
      </c>
      <c r="D34" t="s">
        <v>19</v>
      </c>
      <c r="E34">
        <v>7</v>
      </c>
      <c r="F34">
        <v>250</v>
      </c>
      <c r="G34" s="30">
        <f t="shared" si="1"/>
        <v>1750</v>
      </c>
      <c r="H34" s="30">
        <f t="shared" si="2"/>
        <v>87.5</v>
      </c>
      <c r="I34" s="30">
        <f t="shared" si="3"/>
        <v>1662.5</v>
      </c>
      <c r="J34" s="58">
        <f t="shared" si="4"/>
        <v>498.75</v>
      </c>
      <c r="K34" s="58">
        <f t="shared" si="5"/>
        <v>1163.75</v>
      </c>
      <c r="L34" s="84">
        <f t="shared" si="6"/>
        <v>2</v>
      </c>
      <c r="M34" s="83">
        <f t="shared" si="0"/>
        <v>581.875</v>
      </c>
      <c r="N34" s="26"/>
    </row>
    <row r="35" spans="1:14">
      <c r="A35">
        <v>5215</v>
      </c>
      <c r="B35" t="s">
        <v>6</v>
      </c>
      <c r="C35" t="s">
        <v>15</v>
      </c>
      <c r="D35" t="s">
        <v>19</v>
      </c>
      <c r="E35">
        <v>10</v>
      </c>
      <c r="F35">
        <v>670</v>
      </c>
      <c r="G35" s="30">
        <f t="shared" si="1"/>
        <v>6700</v>
      </c>
      <c r="H35" s="30">
        <f t="shared" si="2"/>
        <v>670</v>
      </c>
      <c r="I35" s="30">
        <f t="shared" si="3"/>
        <v>6030</v>
      </c>
      <c r="J35" s="58">
        <f t="shared" si="4"/>
        <v>1809</v>
      </c>
      <c r="K35" s="58">
        <f t="shared" si="5"/>
        <v>4221</v>
      </c>
      <c r="L35" s="84">
        <f t="shared" si="6"/>
        <v>2</v>
      </c>
      <c r="M35" s="83">
        <f t="shared" si="0"/>
        <v>2110.5</v>
      </c>
      <c r="N35" s="26"/>
    </row>
    <row r="36" spans="1:14">
      <c r="A36">
        <v>5215</v>
      </c>
      <c r="B36" t="s">
        <v>6</v>
      </c>
      <c r="C36" t="s">
        <v>16</v>
      </c>
      <c r="D36" t="s">
        <v>28</v>
      </c>
      <c r="E36">
        <v>15</v>
      </c>
      <c r="F36">
        <v>1350</v>
      </c>
      <c r="G36" s="30">
        <f t="shared" si="1"/>
        <v>20250</v>
      </c>
      <c r="H36" s="30">
        <f t="shared" si="2"/>
        <v>2025</v>
      </c>
      <c r="I36" s="30">
        <f t="shared" si="3"/>
        <v>18225</v>
      </c>
      <c r="J36" s="58">
        <f t="shared" si="4"/>
        <v>5467.5</v>
      </c>
      <c r="K36" s="58">
        <f t="shared" si="5"/>
        <v>12757.5</v>
      </c>
      <c r="L36" s="84">
        <f t="shared" si="6"/>
        <v>3</v>
      </c>
      <c r="M36" s="83">
        <f t="shared" si="0"/>
        <v>4252.5</v>
      </c>
      <c r="N36" s="26"/>
    </row>
    <row r="37" spans="1:14">
      <c r="A37">
        <v>5216</v>
      </c>
      <c r="B37" t="s">
        <v>7</v>
      </c>
      <c r="C37" t="s">
        <v>11</v>
      </c>
      <c r="D37" t="s">
        <v>28</v>
      </c>
      <c r="E37">
        <v>20</v>
      </c>
      <c r="F37">
        <v>1200</v>
      </c>
      <c r="G37" s="30">
        <f t="shared" si="1"/>
        <v>24000</v>
      </c>
      <c r="H37" s="30">
        <f t="shared" si="2"/>
        <v>2400</v>
      </c>
      <c r="I37" s="30">
        <f t="shared" si="3"/>
        <v>21600</v>
      </c>
      <c r="J37" s="58">
        <f t="shared" si="4"/>
        <v>6480</v>
      </c>
      <c r="K37" s="58">
        <f t="shared" si="5"/>
        <v>15120</v>
      </c>
      <c r="L37" s="84">
        <f t="shared" si="6"/>
        <v>3</v>
      </c>
      <c r="M37" s="83">
        <f t="shared" si="0"/>
        <v>5040</v>
      </c>
      <c r="N37" s="26"/>
    </row>
    <row r="38" spans="1:14">
      <c r="A38">
        <v>5217</v>
      </c>
      <c r="B38" t="s">
        <v>8</v>
      </c>
      <c r="C38" t="s">
        <v>16</v>
      </c>
      <c r="D38" t="s">
        <v>20</v>
      </c>
      <c r="E38">
        <v>4</v>
      </c>
      <c r="F38">
        <v>1350</v>
      </c>
      <c r="G38" s="30">
        <f t="shared" si="1"/>
        <v>5400</v>
      </c>
      <c r="H38" s="30">
        <f t="shared" si="2"/>
        <v>540</v>
      </c>
      <c r="I38" s="30">
        <f t="shared" si="3"/>
        <v>4860</v>
      </c>
      <c r="J38" s="58">
        <f t="shared" si="4"/>
        <v>1458</v>
      </c>
      <c r="K38" s="58">
        <f t="shared" si="5"/>
        <v>3402</v>
      </c>
      <c r="L38" s="84">
        <f t="shared" si="6"/>
        <v>2</v>
      </c>
      <c r="M38" s="83">
        <f t="shared" si="0"/>
        <v>1701</v>
      </c>
      <c r="N38" s="26"/>
    </row>
    <row r="39" spans="1:14">
      <c r="A39">
        <v>5210</v>
      </c>
      <c r="B39" t="s">
        <v>1</v>
      </c>
      <c r="C39" t="s">
        <v>12</v>
      </c>
      <c r="D39" t="s">
        <v>20</v>
      </c>
      <c r="E39">
        <v>10</v>
      </c>
      <c r="F39">
        <v>250</v>
      </c>
      <c r="G39" s="30">
        <f t="shared" si="1"/>
        <v>2500</v>
      </c>
      <c r="H39" s="30">
        <f t="shared" si="2"/>
        <v>125</v>
      </c>
      <c r="I39" s="30">
        <f t="shared" si="3"/>
        <v>2375</v>
      </c>
      <c r="J39" s="58">
        <f t="shared" si="4"/>
        <v>712.5</v>
      </c>
      <c r="K39" s="58">
        <f t="shared" si="5"/>
        <v>1662.5</v>
      </c>
      <c r="L39" s="84">
        <f t="shared" si="6"/>
        <v>2</v>
      </c>
      <c r="M39" s="83">
        <f t="shared" si="0"/>
        <v>831.25</v>
      </c>
      <c r="N39" s="26"/>
    </row>
    <row r="40" spans="1:14" s="1" customFormat="1">
      <c r="A40" s="1">
        <v>5212</v>
      </c>
      <c r="B40" s="1" t="s">
        <v>3</v>
      </c>
      <c r="C40" s="1" t="s">
        <v>12</v>
      </c>
      <c r="D40" s="1" t="s">
        <v>20</v>
      </c>
      <c r="E40" s="1">
        <v>1</v>
      </c>
      <c r="F40" s="1">
        <v>250</v>
      </c>
      <c r="G40" s="30">
        <f>(E40*F40)</f>
        <v>250</v>
      </c>
      <c r="H40" s="30">
        <f t="shared" si="2"/>
        <v>12.5</v>
      </c>
      <c r="I40" s="30">
        <f t="shared" si="3"/>
        <v>237.5</v>
      </c>
      <c r="J40" s="58">
        <f t="shared" si="4"/>
        <v>71.25</v>
      </c>
      <c r="K40" s="58">
        <f t="shared" si="5"/>
        <v>166.25</v>
      </c>
      <c r="L40" s="84">
        <f t="shared" si="6"/>
        <v>2</v>
      </c>
      <c r="M40" s="83">
        <f t="shared" si="0"/>
        <v>83.125</v>
      </c>
      <c r="N40" s="34"/>
    </row>
    <row r="41" spans="1:14" s="1" customFormat="1" ht="15.75">
      <c r="A41" s="1">
        <v>5216</v>
      </c>
      <c r="B41" s="1" t="s">
        <v>7</v>
      </c>
      <c r="C41" s="1" t="s">
        <v>15</v>
      </c>
      <c r="D41" s="1" t="s">
        <v>20</v>
      </c>
      <c r="E41" s="35">
        <v>1</v>
      </c>
      <c r="F41" s="35">
        <v>670</v>
      </c>
      <c r="G41" s="30">
        <f t="shared" si="1"/>
        <v>670</v>
      </c>
      <c r="H41" s="30">
        <f t="shared" si="2"/>
        <v>33.5</v>
      </c>
      <c r="I41" s="30">
        <f t="shared" si="3"/>
        <v>636.5</v>
      </c>
      <c r="J41" s="58">
        <f t="shared" si="4"/>
        <v>190.95</v>
      </c>
      <c r="K41" s="58">
        <f t="shared" si="5"/>
        <v>445.55</v>
      </c>
      <c r="L41" s="84">
        <f t="shared" si="6"/>
        <v>2</v>
      </c>
      <c r="M41" s="83">
        <f t="shared" si="0"/>
        <v>222.77500000000001</v>
      </c>
      <c r="N41" s="34"/>
    </row>
    <row r="42" spans="1:14" s="1" customFormat="1" ht="15.75">
      <c r="A42" s="1">
        <v>5211</v>
      </c>
      <c r="B42" s="1" t="s">
        <v>2</v>
      </c>
      <c r="C42" s="1" t="s">
        <v>15</v>
      </c>
      <c r="D42" s="1" t="s">
        <v>18</v>
      </c>
      <c r="E42" s="35">
        <v>3</v>
      </c>
      <c r="F42" s="35">
        <v>670</v>
      </c>
      <c r="G42" s="30">
        <f t="shared" si="1"/>
        <v>2010</v>
      </c>
      <c r="H42" s="30">
        <f t="shared" si="2"/>
        <v>100.5</v>
      </c>
      <c r="I42" s="30">
        <f t="shared" si="3"/>
        <v>1909.5</v>
      </c>
      <c r="J42" s="58">
        <f t="shared" si="4"/>
        <v>572.85</v>
      </c>
      <c r="K42" s="58">
        <f t="shared" si="5"/>
        <v>1336.65</v>
      </c>
      <c r="L42" s="84">
        <f t="shared" si="6"/>
        <v>2</v>
      </c>
      <c r="M42" s="83">
        <f t="shared" si="0"/>
        <v>668.32500000000005</v>
      </c>
      <c r="N42" s="34"/>
    </row>
    <row r="43" spans="1:14" s="1" customFormat="1" ht="15.75">
      <c r="A43" s="1">
        <v>5214</v>
      </c>
      <c r="B43" s="1" t="s">
        <v>5</v>
      </c>
      <c r="C43" s="1" t="s">
        <v>12</v>
      </c>
      <c r="D43" s="1" t="s">
        <v>19</v>
      </c>
      <c r="E43" s="35">
        <v>4</v>
      </c>
      <c r="F43" s="35">
        <v>250</v>
      </c>
      <c r="G43" s="30">
        <f t="shared" si="1"/>
        <v>1000</v>
      </c>
      <c r="H43" s="30">
        <f t="shared" si="2"/>
        <v>50</v>
      </c>
      <c r="I43" s="30">
        <f t="shared" si="3"/>
        <v>950</v>
      </c>
      <c r="J43" s="58">
        <f t="shared" si="4"/>
        <v>285</v>
      </c>
      <c r="K43" s="58">
        <f t="shared" si="5"/>
        <v>665</v>
      </c>
      <c r="L43" s="84">
        <f t="shared" si="6"/>
        <v>2</v>
      </c>
      <c r="M43" s="83">
        <f t="shared" si="0"/>
        <v>332.5</v>
      </c>
      <c r="N43" s="34"/>
    </row>
    <row r="44" spans="1:14" s="1" customFormat="1" ht="15.75">
      <c r="A44" s="1">
        <v>5215</v>
      </c>
      <c r="B44" s="1" t="s">
        <v>6</v>
      </c>
      <c r="C44" s="1" t="s">
        <v>15</v>
      </c>
      <c r="D44" s="1" t="s">
        <v>19</v>
      </c>
      <c r="E44" s="35">
        <v>2</v>
      </c>
      <c r="F44" s="35">
        <v>670</v>
      </c>
      <c r="G44" s="30">
        <f t="shared" si="1"/>
        <v>1340</v>
      </c>
      <c r="H44" s="30">
        <f t="shared" si="2"/>
        <v>67</v>
      </c>
      <c r="I44" s="30">
        <f t="shared" si="3"/>
        <v>1273</v>
      </c>
      <c r="J44" s="58">
        <f t="shared" si="4"/>
        <v>381.9</v>
      </c>
      <c r="K44" s="58">
        <f t="shared" si="5"/>
        <v>891.1</v>
      </c>
      <c r="L44" s="84">
        <f t="shared" si="6"/>
        <v>2</v>
      </c>
      <c r="M44" s="83">
        <f t="shared" si="0"/>
        <v>445.55</v>
      </c>
      <c r="N44" s="34"/>
    </row>
    <row r="45" spans="1:14" s="1" customFormat="1" ht="15.75">
      <c r="A45" s="1">
        <v>5215</v>
      </c>
      <c r="B45" s="1" t="s">
        <v>6</v>
      </c>
      <c r="C45" s="1" t="s">
        <v>16</v>
      </c>
      <c r="D45" s="1" t="s">
        <v>28</v>
      </c>
      <c r="E45" s="35">
        <v>5</v>
      </c>
      <c r="F45" s="35">
        <v>1350</v>
      </c>
      <c r="G45" s="30">
        <f t="shared" si="1"/>
        <v>6750</v>
      </c>
      <c r="H45" s="30">
        <f t="shared" si="2"/>
        <v>675</v>
      </c>
      <c r="I45" s="30">
        <f t="shared" si="3"/>
        <v>6075</v>
      </c>
      <c r="J45" s="58">
        <f t="shared" si="4"/>
        <v>1822.5</v>
      </c>
      <c r="K45" s="58">
        <f t="shared" si="5"/>
        <v>4252.5</v>
      </c>
      <c r="L45" s="84">
        <f t="shared" si="6"/>
        <v>2</v>
      </c>
      <c r="M45" s="83">
        <f t="shared" si="0"/>
        <v>2126.25</v>
      </c>
      <c r="N45" s="34"/>
    </row>
    <row r="46" spans="1:14" s="1" customFormat="1" ht="15.75">
      <c r="A46" s="1">
        <v>5216</v>
      </c>
      <c r="B46" s="1" t="s">
        <v>7</v>
      </c>
      <c r="C46" s="1" t="s">
        <v>11</v>
      </c>
      <c r="D46" s="1" t="s">
        <v>28</v>
      </c>
      <c r="E46" s="35">
        <v>3</v>
      </c>
      <c r="F46" s="35">
        <v>1200</v>
      </c>
      <c r="G46" s="30">
        <f t="shared" si="1"/>
        <v>3600</v>
      </c>
      <c r="H46" s="30">
        <f t="shared" si="2"/>
        <v>180</v>
      </c>
      <c r="I46" s="30">
        <f t="shared" si="3"/>
        <v>3420</v>
      </c>
      <c r="J46" s="58">
        <f t="shared" si="4"/>
        <v>1026</v>
      </c>
      <c r="K46" s="58">
        <f t="shared" si="5"/>
        <v>2394</v>
      </c>
      <c r="L46" s="84">
        <f t="shared" si="6"/>
        <v>2</v>
      </c>
      <c r="M46" s="83">
        <f t="shared" si="0"/>
        <v>1197</v>
      </c>
      <c r="N46" s="34"/>
    </row>
    <row r="47" spans="1:14" s="1" customFormat="1" ht="15.75">
      <c r="A47" s="1">
        <v>5217</v>
      </c>
      <c r="B47" s="1" t="s">
        <v>8</v>
      </c>
      <c r="C47" s="1" t="s">
        <v>16</v>
      </c>
      <c r="D47" s="1" t="s">
        <v>20</v>
      </c>
      <c r="E47" s="35">
        <v>4</v>
      </c>
      <c r="F47" s="35">
        <v>1350</v>
      </c>
      <c r="G47" s="30">
        <f t="shared" si="1"/>
        <v>5400</v>
      </c>
      <c r="H47" s="30">
        <f t="shared" si="2"/>
        <v>540</v>
      </c>
      <c r="I47" s="30">
        <f t="shared" si="3"/>
        <v>4860</v>
      </c>
      <c r="J47" s="58">
        <f t="shared" si="4"/>
        <v>1458</v>
      </c>
      <c r="K47" s="58">
        <f t="shared" si="5"/>
        <v>3402</v>
      </c>
      <c r="L47" s="84">
        <f t="shared" si="6"/>
        <v>2</v>
      </c>
      <c r="M47" s="83">
        <f t="shared" si="0"/>
        <v>1701</v>
      </c>
      <c r="N47" s="34"/>
    </row>
    <row r="48" spans="1:14" ht="15.75">
      <c r="A48">
        <v>5210</v>
      </c>
      <c r="B48" t="s">
        <v>1</v>
      </c>
      <c r="C48" t="s">
        <v>12</v>
      </c>
      <c r="D48" t="s">
        <v>20</v>
      </c>
      <c r="E48" s="16">
        <v>10</v>
      </c>
      <c r="F48" s="16">
        <v>250</v>
      </c>
      <c r="G48" s="30">
        <f t="shared" si="1"/>
        <v>2500</v>
      </c>
      <c r="H48" s="30">
        <f t="shared" si="2"/>
        <v>125</v>
      </c>
      <c r="I48" s="30">
        <f t="shared" si="3"/>
        <v>2375</v>
      </c>
      <c r="J48" s="58">
        <f t="shared" si="4"/>
        <v>712.5</v>
      </c>
      <c r="K48" s="58">
        <f t="shared" si="5"/>
        <v>1662.5</v>
      </c>
      <c r="L48" s="84">
        <f t="shared" si="6"/>
        <v>2</v>
      </c>
      <c r="M48" s="83">
        <f t="shared" si="0"/>
        <v>831.25</v>
      </c>
      <c r="N48" s="26"/>
    </row>
    <row r="49" spans="1:14" ht="15.75">
      <c r="A49">
        <v>5212</v>
      </c>
      <c r="B49" t="s">
        <v>3</v>
      </c>
      <c r="C49" t="s">
        <v>12</v>
      </c>
      <c r="D49" t="s">
        <v>20</v>
      </c>
      <c r="E49" s="16">
        <v>1</v>
      </c>
      <c r="F49" s="16">
        <v>250</v>
      </c>
      <c r="G49" s="30">
        <f t="shared" si="1"/>
        <v>250</v>
      </c>
      <c r="H49" s="30">
        <f t="shared" si="2"/>
        <v>12.5</v>
      </c>
      <c r="I49" s="30">
        <f t="shared" si="3"/>
        <v>237.5</v>
      </c>
      <c r="J49" s="58">
        <f t="shared" si="4"/>
        <v>71.25</v>
      </c>
      <c r="K49" s="58">
        <f t="shared" si="5"/>
        <v>166.25</v>
      </c>
      <c r="L49" s="84">
        <f t="shared" si="6"/>
        <v>2</v>
      </c>
      <c r="M49" s="83">
        <f t="shared" si="0"/>
        <v>83.125</v>
      </c>
      <c r="N49" s="26"/>
    </row>
    <row r="50" spans="1:14" ht="15.75">
      <c r="A50">
        <v>5216</v>
      </c>
      <c r="B50" t="s">
        <v>7</v>
      </c>
      <c r="C50" t="s">
        <v>15</v>
      </c>
      <c r="D50" t="s">
        <v>20</v>
      </c>
      <c r="E50" s="16">
        <v>1</v>
      </c>
      <c r="F50" s="16">
        <v>670</v>
      </c>
      <c r="G50" s="30">
        <f t="shared" si="1"/>
        <v>670</v>
      </c>
      <c r="H50" s="30">
        <f t="shared" si="2"/>
        <v>33.5</v>
      </c>
      <c r="I50" s="30">
        <f t="shared" si="3"/>
        <v>636.5</v>
      </c>
      <c r="J50" s="58">
        <f t="shared" si="4"/>
        <v>190.95</v>
      </c>
      <c r="K50" s="58">
        <f t="shared" si="5"/>
        <v>445.55</v>
      </c>
      <c r="L50" s="84">
        <f t="shared" si="6"/>
        <v>2</v>
      </c>
      <c r="M50" s="83">
        <f t="shared" si="0"/>
        <v>222.77500000000001</v>
      </c>
      <c r="N50" s="26"/>
    </row>
    <row r="51" spans="1:14" ht="15.75">
      <c r="A51">
        <v>5210</v>
      </c>
      <c r="B51" t="s">
        <v>1</v>
      </c>
      <c r="C51" t="s">
        <v>11</v>
      </c>
      <c r="D51" t="s">
        <v>18</v>
      </c>
      <c r="E51" s="16">
        <v>3</v>
      </c>
      <c r="F51" s="16">
        <v>1200</v>
      </c>
      <c r="G51" s="30">
        <f t="shared" si="1"/>
        <v>3600</v>
      </c>
      <c r="H51" s="30">
        <f t="shared" si="2"/>
        <v>180</v>
      </c>
      <c r="I51" s="30">
        <f t="shared" si="3"/>
        <v>3420</v>
      </c>
      <c r="J51" s="58">
        <f t="shared" si="4"/>
        <v>1026</v>
      </c>
      <c r="K51" s="58">
        <f t="shared" si="5"/>
        <v>2394</v>
      </c>
      <c r="L51" s="84">
        <f t="shared" si="6"/>
        <v>2</v>
      </c>
      <c r="M51" s="83">
        <f t="shared" si="0"/>
        <v>1197</v>
      </c>
      <c r="N51" s="26"/>
    </row>
    <row r="52" spans="1:14" ht="21.75">
      <c r="A52">
        <v>5211</v>
      </c>
      <c r="B52" t="s">
        <v>2</v>
      </c>
      <c r="C52" s="23" t="s">
        <v>12</v>
      </c>
      <c r="D52" s="36" t="s">
        <v>18</v>
      </c>
      <c r="E52" s="37">
        <v>4</v>
      </c>
      <c r="F52" s="37">
        <v>250</v>
      </c>
      <c r="G52" s="30">
        <f t="shared" si="1"/>
        <v>1000</v>
      </c>
      <c r="H52" s="30">
        <f t="shared" si="2"/>
        <v>50</v>
      </c>
      <c r="I52" s="30">
        <f t="shared" si="3"/>
        <v>950</v>
      </c>
      <c r="J52" s="58">
        <f t="shared" si="4"/>
        <v>285</v>
      </c>
      <c r="K52" s="58">
        <f t="shared" si="5"/>
        <v>665</v>
      </c>
      <c r="L52" s="84">
        <f t="shared" si="6"/>
        <v>2</v>
      </c>
      <c r="M52" s="83">
        <f t="shared" si="0"/>
        <v>332.5</v>
      </c>
      <c r="N52" s="26"/>
    </row>
    <row r="53" spans="1:14" ht="21.75">
      <c r="A53">
        <v>5210</v>
      </c>
      <c r="B53" t="s">
        <v>1</v>
      </c>
      <c r="C53" s="23" t="s">
        <v>13</v>
      </c>
      <c r="D53" s="36" t="s">
        <v>19</v>
      </c>
      <c r="E53" s="37">
        <v>2</v>
      </c>
      <c r="F53" s="37">
        <v>1700</v>
      </c>
      <c r="G53" s="30">
        <f t="shared" si="1"/>
        <v>3400</v>
      </c>
      <c r="H53" s="30">
        <f t="shared" si="2"/>
        <v>170</v>
      </c>
      <c r="I53" s="30">
        <f t="shared" si="3"/>
        <v>3230</v>
      </c>
      <c r="J53" s="58">
        <f t="shared" si="4"/>
        <v>969</v>
      </c>
      <c r="K53" s="58">
        <f t="shared" si="5"/>
        <v>2261</v>
      </c>
      <c r="L53" s="84">
        <f t="shared" si="6"/>
        <v>2</v>
      </c>
      <c r="M53" s="83">
        <f t="shared" si="0"/>
        <v>1130.5</v>
      </c>
      <c r="N53" s="26"/>
    </row>
    <row r="54" spans="1:14" ht="21.75">
      <c r="A54">
        <v>5212</v>
      </c>
      <c r="B54" t="s">
        <v>3</v>
      </c>
      <c r="C54" s="23" t="s">
        <v>14</v>
      </c>
      <c r="D54" s="36" t="s">
        <v>28</v>
      </c>
      <c r="E54" s="37">
        <v>5</v>
      </c>
      <c r="F54" s="37">
        <v>820</v>
      </c>
      <c r="G54" s="30">
        <f t="shared" si="1"/>
        <v>4100</v>
      </c>
      <c r="H54" s="30">
        <f t="shared" si="2"/>
        <v>205</v>
      </c>
      <c r="I54" s="30">
        <f t="shared" si="3"/>
        <v>3895</v>
      </c>
      <c r="J54" s="58">
        <f t="shared" si="4"/>
        <v>1168.5</v>
      </c>
      <c r="K54" s="58">
        <f t="shared" si="5"/>
        <v>2726.5</v>
      </c>
      <c r="L54" s="84">
        <f t="shared" si="6"/>
        <v>2</v>
      </c>
      <c r="M54" s="83">
        <f t="shared" si="0"/>
        <v>1363.25</v>
      </c>
      <c r="N54" s="26"/>
    </row>
    <row r="55" spans="1:14" ht="21.75">
      <c r="A55">
        <v>5213</v>
      </c>
      <c r="B55" t="s">
        <v>4</v>
      </c>
      <c r="C55" t="s">
        <v>14</v>
      </c>
      <c r="D55" s="18" t="s">
        <v>19</v>
      </c>
      <c r="E55" s="17">
        <v>3</v>
      </c>
      <c r="F55" s="17">
        <v>820</v>
      </c>
      <c r="G55" s="30">
        <f t="shared" si="1"/>
        <v>2460</v>
      </c>
      <c r="H55" s="30">
        <f t="shared" si="2"/>
        <v>123</v>
      </c>
      <c r="I55" s="30">
        <f t="shared" si="3"/>
        <v>2337</v>
      </c>
      <c r="J55" s="58">
        <f t="shared" si="4"/>
        <v>701.1</v>
      </c>
      <c r="K55" s="58">
        <f t="shared" si="5"/>
        <v>1635.9</v>
      </c>
      <c r="L55" s="84">
        <f t="shared" si="6"/>
        <v>2</v>
      </c>
      <c r="M55" s="83">
        <f t="shared" si="0"/>
        <v>817.95</v>
      </c>
      <c r="N55" s="26"/>
    </row>
    <row r="56" spans="1:14" ht="21.75">
      <c r="D56" s="43" t="s">
        <v>22</v>
      </c>
      <c r="E56" s="44">
        <f>SUM(E11:E55)</f>
        <v>521</v>
      </c>
      <c r="F56" s="45">
        <f>SUM(F11:F55)</f>
        <v>38950</v>
      </c>
      <c r="G56" s="45">
        <f t="shared" ref="G56:M56" si="8">SUM(G11:G55)</f>
        <v>441590</v>
      </c>
      <c r="H56" s="45">
        <f t="shared" si="8"/>
        <v>42242</v>
      </c>
      <c r="I56" s="45">
        <f t="shared" si="8"/>
        <v>399348</v>
      </c>
      <c r="J56" s="45">
        <f t="shared" si="8"/>
        <v>119804.4</v>
      </c>
      <c r="K56" s="45">
        <f t="shared" si="8"/>
        <v>279543.60000000003</v>
      </c>
      <c r="L56" s="45">
        <f t="shared" si="8"/>
        <v>100</v>
      </c>
      <c r="M56" s="45">
        <f>SUM(M11:M55)</f>
        <v>111683.24999999999</v>
      </c>
      <c r="N56" s="26"/>
    </row>
    <row r="57" spans="1:14" ht="21.75">
      <c r="D57" s="19"/>
      <c r="E57" s="19"/>
      <c r="F57" s="19"/>
      <c r="G57" s="19"/>
      <c r="H57" s="17"/>
      <c r="I57" s="17"/>
      <c r="J57" s="17"/>
      <c r="K57" s="17"/>
      <c r="L57" s="17"/>
      <c r="M57" s="17"/>
    </row>
    <row r="58" spans="1:14" ht="21.75">
      <c r="D58" s="17"/>
      <c r="E58" s="17"/>
      <c r="F58" s="19"/>
      <c r="G58" s="19"/>
      <c r="H58" s="17"/>
      <c r="I58" s="17"/>
      <c r="J58" s="17"/>
      <c r="K58" s="17"/>
      <c r="L58" s="17"/>
      <c r="M58" s="17"/>
    </row>
  </sheetData>
  <sortState xmlns:xlrd2="http://schemas.microsoft.com/office/spreadsheetml/2017/richdata2" ref="M3:M12">
    <sortCondition ref="M3"/>
  </sortState>
  <mergeCells count="6">
    <mergeCell ref="O7:S7"/>
    <mergeCell ref="J1:K1"/>
    <mergeCell ref="A1:G1"/>
    <mergeCell ref="B2:C2"/>
    <mergeCell ref="B4:F4"/>
    <mergeCell ref="B3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5"/>
  <sheetViews>
    <sheetView workbookViewId="0">
      <selection activeCell="B11" sqref="B11:Q11"/>
    </sheetView>
  </sheetViews>
  <sheetFormatPr defaultRowHeight="15"/>
  <cols>
    <col min="1" max="1" width="0.85546875" customWidth="1"/>
    <col min="2" max="2" width="9" customWidth="1"/>
    <col min="3" max="3" width="12" customWidth="1"/>
    <col min="4" max="4" width="10.85546875" customWidth="1"/>
    <col min="5" max="5" width="9.7109375" customWidth="1"/>
    <col min="7" max="7" width="12.42578125" customWidth="1"/>
    <col min="8" max="8" width="10.140625" customWidth="1"/>
    <col min="9" max="9" width="12.42578125" customWidth="1"/>
    <col min="10" max="10" width="9.28515625" customWidth="1"/>
    <col min="11" max="11" width="10.7109375" customWidth="1"/>
    <col min="12" max="12" width="11.7109375" customWidth="1"/>
    <col min="13" max="13" width="12" customWidth="1"/>
    <col min="15" max="15" width="13.140625" customWidth="1"/>
    <col min="16" max="16" width="20.85546875" customWidth="1"/>
    <col min="17" max="17" width="7.140625" customWidth="1"/>
  </cols>
  <sheetData>
    <row r="1" spans="2:17" ht="24" thickBot="1">
      <c r="B1" s="79" t="s">
        <v>29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2:17" ht="35.25" customHeight="1">
      <c r="B2" s="51" t="s">
        <v>30</v>
      </c>
      <c r="C2" s="4" t="s">
        <v>31</v>
      </c>
      <c r="D2" s="4" t="s">
        <v>32</v>
      </c>
      <c r="E2" s="4" t="s">
        <v>33</v>
      </c>
      <c r="F2" s="4" t="s">
        <v>33</v>
      </c>
      <c r="G2" s="4" t="s">
        <v>34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43</v>
      </c>
      <c r="M2" s="4" t="s">
        <v>69</v>
      </c>
      <c r="Q2" s="9"/>
    </row>
    <row r="3" spans="2:17" ht="41.25" customHeight="1" thickBot="1">
      <c r="B3" s="50" t="s">
        <v>51</v>
      </c>
      <c r="C3" s="47" t="s">
        <v>26</v>
      </c>
      <c r="D3" s="46" t="s">
        <v>27</v>
      </c>
      <c r="E3" s="46" t="s">
        <v>38</v>
      </c>
      <c r="F3" s="46" t="s">
        <v>41</v>
      </c>
      <c r="G3" s="46" t="s">
        <v>42</v>
      </c>
      <c r="H3" s="46" t="s">
        <v>40</v>
      </c>
      <c r="I3" s="46" t="s">
        <v>24</v>
      </c>
      <c r="J3" s="46" t="s">
        <v>51</v>
      </c>
      <c r="K3" s="46" t="s">
        <v>66</v>
      </c>
      <c r="L3" s="46" t="s">
        <v>39</v>
      </c>
      <c r="M3" s="49" t="s">
        <v>70</v>
      </c>
      <c r="Q3" s="9"/>
    </row>
    <row r="4" spans="2:17" ht="36" customHeight="1">
      <c r="B4" s="76" t="s">
        <v>71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  <c r="N4" s="81"/>
      <c r="O4" s="81"/>
      <c r="P4" s="81"/>
      <c r="Q4" s="82"/>
    </row>
    <row r="5" spans="2:17" ht="28.5" customHeight="1">
      <c r="B5" s="67" t="s">
        <v>53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 spans="2:17" ht="23.25" customHeight="1">
      <c r="B6" s="67" t="s">
        <v>54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9"/>
    </row>
    <row r="7" spans="2:17" ht="39.75" customHeight="1">
      <c r="B7" s="67" t="s">
        <v>78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9"/>
    </row>
    <row r="8" spans="2:17" ht="60.75" customHeight="1">
      <c r="B8" s="67" t="s">
        <v>55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9"/>
    </row>
    <row r="9" spans="2:17" ht="65.25" customHeight="1">
      <c r="B9" s="67" t="s">
        <v>56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9"/>
    </row>
    <row r="10" spans="2:17" ht="44.25" customHeight="1">
      <c r="B10" s="67" t="s">
        <v>65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9"/>
    </row>
    <row r="11" spans="2:17" ht="41.25" customHeight="1">
      <c r="B11" s="67" t="s">
        <v>67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9"/>
    </row>
    <row r="12" spans="2:17" ht="21.75" customHeight="1">
      <c r="B12" s="76" t="s">
        <v>77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</row>
    <row r="13" spans="2:17" ht="109.5" customHeight="1">
      <c r="B13" s="70" t="s">
        <v>68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2"/>
    </row>
    <row r="14" spans="2:17" ht="19.5" customHeight="1" thickBot="1">
      <c r="B14" s="73" t="s">
        <v>52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5"/>
    </row>
    <row r="15" spans="2:17" ht="19.5" customHeight="1"/>
  </sheetData>
  <mergeCells count="12">
    <mergeCell ref="B8:Q8"/>
    <mergeCell ref="B1:Q1"/>
    <mergeCell ref="B4:Q4"/>
    <mergeCell ref="B5:Q5"/>
    <mergeCell ref="B6:Q6"/>
    <mergeCell ref="B7:Q7"/>
    <mergeCell ref="B9:Q9"/>
    <mergeCell ref="B10:Q10"/>
    <mergeCell ref="B11:Q11"/>
    <mergeCell ref="B13:Q13"/>
    <mergeCell ref="B14:Q14"/>
    <mergeCell ref="B12:Q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Leka</dc:creator>
  <cp:lastModifiedBy>ETEC</cp:lastModifiedBy>
  <dcterms:created xsi:type="dcterms:W3CDTF">2013-06-12T18:12:22Z</dcterms:created>
  <dcterms:modified xsi:type="dcterms:W3CDTF">2026-06-23T23:49:08Z</dcterms:modified>
</cp:coreProperties>
</file>
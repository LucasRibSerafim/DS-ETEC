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 ETEC\PTIC\Pietro e Pulga Aula 8\"/>
    </mc:Choice>
  </mc:AlternateContent>
  <xr:revisionPtr revIDLastSave="0" documentId="13_ncr:1_{122AE3D2-638A-44F5-AE48-45106D57AE99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Maio de 2026" sheetId="1" r:id="rId1"/>
    <sheet name="Junho de 2026" sheetId="2" r:id="rId2"/>
  </sheets>
  <calcPr calcId="191029"/>
  <customWorkbookViews>
    <customWorkbookView name="User - Modo de exibição pessoal" guid="{83F02C06-BB31-4FAF-86D2-6A7139A1FA64}" mergeInterval="0" personalView="1" maximized="1" xWindow="1" yWindow="1" windowWidth="1024" windowHeight="5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C6" i="2"/>
  <c r="C17" i="2"/>
  <c r="E26" i="2"/>
  <c r="D26" i="2"/>
  <c r="G17" i="2"/>
  <c r="G16" i="2"/>
  <c r="E9" i="2"/>
  <c r="D4" i="2"/>
  <c r="D5" i="2" s="1"/>
  <c r="D6" i="2" s="1"/>
  <c r="D10" i="2" s="1"/>
  <c r="D11" i="2" s="1"/>
  <c r="D12" i="2" s="1"/>
  <c r="D13" i="2" s="1"/>
  <c r="D14" i="2" s="1"/>
  <c r="D15" i="2" s="1"/>
  <c r="D16" i="2" s="1"/>
  <c r="D26" i="1"/>
  <c r="C17" i="1"/>
  <c r="E26" i="1"/>
  <c r="D4" i="1"/>
  <c r="D5" i="1" s="1"/>
  <c r="D6" i="1" s="1"/>
  <c r="D10" i="1" s="1"/>
  <c r="D11" i="1" s="1"/>
  <c r="D12" i="1" s="1"/>
  <c r="D13" i="1" s="1"/>
  <c r="D14" i="1" s="1"/>
  <c r="D15" i="1" s="1"/>
  <c r="D16" i="1" s="1"/>
  <c r="D3" i="1"/>
  <c r="E9" i="1"/>
  <c r="G16" i="1"/>
  <c r="G17" i="1"/>
  <c r="C26" i="2" l="1"/>
  <c r="C27" i="2" s="1"/>
  <c r="C25" i="2"/>
  <c r="C24" i="2"/>
  <c r="C23" i="2"/>
  <c r="C22" i="2"/>
  <c r="C21" i="2"/>
  <c r="C22" i="1"/>
  <c r="C23" i="1"/>
  <c r="C24" i="1"/>
  <c r="C25" i="1"/>
  <c r="C26" i="1"/>
  <c r="C27" i="1" s="1"/>
  <c r="C21" i="1"/>
</calcChain>
</file>

<file path=xl/sharedStrings.xml><?xml version="1.0" encoding="utf-8"?>
<sst xmlns="http://schemas.openxmlformats.org/spreadsheetml/2006/main" count="116" uniqueCount="52">
  <si>
    <t>Receitas</t>
  </si>
  <si>
    <t>Descrição</t>
  </si>
  <si>
    <t>Valor</t>
  </si>
  <si>
    <t>Saldo</t>
  </si>
  <si>
    <t>Salário</t>
  </si>
  <si>
    <t>Comissão</t>
  </si>
  <si>
    <t>Total de Receitas</t>
  </si>
  <si>
    <t>Despesas Fixas</t>
  </si>
  <si>
    <t>Aluguel</t>
  </si>
  <si>
    <t>Internet</t>
  </si>
  <si>
    <t>Água</t>
  </si>
  <si>
    <t>Luz</t>
  </si>
  <si>
    <t>Telefone</t>
  </si>
  <si>
    <t>Gás</t>
  </si>
  <si>
    <t>Mercado</t>
  </si>
  <si>
    <t>Saldo Parcial</t>
  </si>
  <si>
    <t>Despesas Variáveis</t>
  </si>
  <si>
    <t>Valor Disponível</t>
  </si>
  <si>
    <t>Valor Gasto</t>
  </si>
  <si>
    <t>Lazer</t>
  </si>
  <si>
    <t>Vestuário</t>
  </si>
  <si>
    <t>Guloseimas</t>
  </si>
  <si>
    <t>Estética</t>
  </si>
  <si>
    <t>Saldo Disponível</t>
  </si>
  <si>
    <t>% Reservado</t>
  </si>
  <si>
    <t>Excel</t>
  </si>
  <si>
    <t>Fórmulas no Excel</t>
  </si>
  <si>
    <t>Calculadora</t>
  </si>
  <si>
    <t>Multiplicação ou vezes</t>
  </si>
  <si>
    <t>Divisão ou dividir</t>
  </si>
  <si>
    <t>Adição ou somar</t>
  </si>
  <si>
    <t>Subtração ou menos</t>
  </si>
  <si>
    <t>Exponenciação</t>
  </si>
  <si>
    <t>^</t>
  </si>
  <si>
    <t>*</t>
  </si>
  <si>
    <t>/</t>
  </si>
  <si>
    <t>+</t>
  </si>
  <si>
    <t>-</t>
  </si>
  <si>
    <t>Operadores</t>
  </si>
  <si>
    <t>Obter o total das Receitas</t>
  </si>
  <si>
    <t>1050+450+90=</t>
  </si>
  <si>
    <t>=1050+450+90 enter</t>
  </si>
  <si>
    <t>fórmula manual</t>
  </si>
  <si>
    <t>fórmula automática</t>
  </si>
  <si>
    <t>=C3+C4+C5 enter</t>
  </si>
  <si>
    <t>Jequiti e Avon</t>
  </si>
  <si>
    <t>Legenda</t>
  </si>
  <si>
    <t>Saldo Final</t>
  </si>
  <si>
    <t>Poupança</t>
  </si>
  <si>
    <t>Preencher Automático</t>
  </si>
  <si>
    <t>Preencher Manual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</si>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</sst>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9" x14ac:knownFonts="1">
    <font>
      <sz val="10"/>
      <name val="Arial"/>
    </font>
    <font>
      <sz val="16"/>
      <name val="Calibri Light"/>
      <family val="2"/>
    </font>
    <font>
      <b/>
      <i/>
      <sz val="16"/>
      <name val="PMingLiU-ExtB"/>
      <family val="1"/>
    </font>
    <font>
      <sz val="10"/>
      <name val="Arial"/>
    </font>
    <font>
      <sz val="16"/>
      <name val="Mongolian Baiti"/>
      <family val="4"/>
    </font>
    <font>
      <sz val="14"/>
      <name val="Aptos"/>
      <family val="2"/>
    </font>
    <font>
      <sz val="16"/>
      <color theme="1"/>
      <name val="Arial Black"/>
      <family val="2"/>
    </font>
    <font>
      <b/>
      <sz val="16"/>
      <name val="Calibri Light"/>
      <family val="2"/>
    </font>
    <font>
      <sz val="16"/>
      <color theme="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4" borderId="1" xfId="0" applyFont="1" applyFill="1" applyBorder="1"/>
    <xf numFmtId="9" fontId="1" fillId="0" borderId="0" xfId="3" applyFont="1"/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164" fontId="1" fillId="7" borderId="1" xfId="2" applyNumberFormat="1" applyFont="1" applyFill="1" applyBorder="1"/>
    <xf numFmtId="44" fontId="1" fillId="7" borderId="1" xfId="2" applyFont="1" applyFill="1" applyBorder="1"/>
    <xf numFmtId="44" fontId="1" fillId="6" borderId="1" xfId="2" applyFont="1" applyFill="1" applyBorder="1"/>
    <xf numFmtId="9" fontId="1" fillId="7" borderId="1" xfId="3" applyFont="1" applyFill="1" applyBorder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1" fillId="8" borderId="1" xfId="0" applyFont="1" applyFill="1" applyBorder="1"/>
    <xf numFmtId="44" fontId="1" fillId="0" borderId="0" xfId="0" applyNumberFormat="1" applyFont="1"/>
    <xf numFmtId="165" fontId="1" fillId="6" borderId="1" xfId="2" applyNumberFormat="1" applyFont="1" applyFill="1" applyBorder="1"/>
    <xf numFmtId="165" fontId="1" fillId="6" borderId="1" xfId="1" applyNumberFormat="1" applyFont="1" applyFill="1" applyBorder="1"/>
    <xf numFmtId="165" fontId="1" fillId="6" borderId="1" xfId="0" applyNumberFormat="1" applyFont="1" applyFill="1" applyBorder="1"/>
    <xf numFmtId="0" fontId="5" fillId="4" borderId="2" xfId="0" applyFont="1" applyFill="1" applyBorder="1" applyAlignment="1">
      <alignment horizontal="center"/>
    </xf>
    <xf numFmtId="44" fontId="5" fillId="4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/>
    <xf numFmtId="9" fontId="1" fillId="6" borderId="1" xfId="0" applyNumberFormat="1" applyFont="1" applyFill="1" applyBorder="1" applyAlignment="1">
      <alignment horizontal="center"/>
    </xf>
    <xf numFmtId="44" fontId="1" fillId="6" borderId="1" xfId="0" applyNumberFormat="1" applyFont="1" applyFill="1" applyBorder="1"/>
    <xf numFmtId="44" fontId="8" fillId="6" borderId="1" xfId="2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125316</xdr:colOff>
      <xdr:row>0</xdr:row>
      <xdr:rowOff>337039</xdr:rowOff>
    </xdr:from>
    <xdr:to>
      <xdr:col>22</xdr:col>
      <xdr:colOff>320211</xdr:colOff>
      <xdr:row>17</xdr:row>
      <xdr:rowOff>157959</xdr:rowOff>
    </xdr:to>
    <xdr:pic>
      <xdr:nvPicPr>
        <xdr:cNvPr id="1055" name="Picture 2">
          <a:extLst>
            <a:ext uri="{FF2B5EF4-FFF2-40B4-BE49-F238E27FC236}">
              <a16:creationId xmlns:a16="http://schemas.microsoft.com/office/drawing/2014/main" id="{25B75699-31E1-40D3-B562-E83AFF89F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51" y="337039"/>
          <a:ext cx="8100645" cy="4502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125316</xdr:colOff>
      <xdr:row>0</xdr:row>
      <xdr:rowOff>337039</xdr:rowOff>
    </xdr:from>
    <xdr:to>
      <xdr:col>22</xdr:col>
      <xdr:colOff>320211</xdr:colOff>
      <xdr:row>17</xdr:row>
      <xdr:rowOff>157959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DAA0A0F-8A3B-45BD-95A0-BD1BD0A32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7516" y="337039"/>
          <a:ext cx="8119695" cy="4535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9" zoomScale="70" zoomScaleNormal="70" workbookViewId="0">
      <selection activeCell="F28" sqref="F28"/>
    </sheetView>
  </sheetViews>
  <sheetFormatPr defaultRowHeight="21" x14ac:dyDescent="0.35"/>
  <cols>
    <col min="1" max="1" width="21.85546875" style="1" customWidth="1"/>
    <col min="2" max="3" width="23.28515625" style="1" customWidth="1"/>
    <col min="4" max="4" width="17.28515625" style="1" customWidth="1"/>
    <col min="5" max="5" width="24.7109375" style="1" customWidth="1"/>
    <col min="6" max="6" width="36.7109375" style="1" customWidth="1"/>
    <col min="7" max="7" width="18" style="1" customWidth="1"/>
    <col min="8" max="8" width="26" style="1" bestFit="1" customWidth="1"/>
    <col min="9" max="9" width="15.7109375" style="1" customWidth="1"/>
    <col min="10" max="16384" width="9.140625" style="1"/>
  </cols>
  <sheetData>
    <row r="1" spans="1:8" ht="30" customHeight="1" x14ac:dyDescent="0.5">
      <c r="A1" s="23" t="s">
        <v>0</v>
      </c>
      <c r="B1" s="23"/>
      <c r="C1" s="23"/>
      <c r="D1" s="24"/>
      <c r="F1" s="6" t="s">
        <v>46</v>
      </c>
    </row>
    <row r="2" spans="1:8" ht="20.25" customHeight="1" x14ac:dyDescent="0.35">
      <c r="A2" s="5" t="s">
        <v>51</v>
      </c>
      <c r="B2" s="5" t="s">
        <v>1</v>
      </c>
      <c r="C2" s="5" t="s">
        <v>2</v>
      </c>
      <c r="D2" s="5" t="s">
        <v>3</v>
      </c>
      <c r="F2" s="7" t="s">
        <v>49</v>
      </c>
    </row>
    <row r="3" spans="1:8" ht="20.25" customHeight="1" x14ac:dyDescent="0.35">
      <c r="A3" s="14">
        <v>46147</v>
      </c>
      <c r="B3" s="4" t="s">
        <v>4</v>
      </c>
      <c r="C3" s="9">
        <v>1050</v>
      </c>
      <c r="D3" s="18">
        <f>C3</f>
        <v>1050</v>
      </c>
      <c r="F3" s="8" t="s">
        <v>50</v>
      </c>
    </row>
    <row r="4" spans="1:8" ht="20.25" customHeight="1" x14ac:dyDescent="0.35">
      <c r="A4" s="14">
        <v>46148</v>
      </c>
      <c r="B4" s="4" t="s">
        <v>5</v>
      </c>
      <c r="C4" s="9">
        <v>450</v>
      </c>
      <c r="D4" s="18">
        <f>C3+C4</f>
        <v>1500</v>
      </c>
    </row>
    <row r="5" spans="1:8" ht="20.25" customHeight="1" x14ac:dyDescent="0.35">
      <c r="A5" s="14">
        <v>46149</v>
      </c>
      <c r="B5" s="4" t="s">
        <v>45</v>
      </c>
      <c r="C5" s="9">
        <v>90</v>
      </c>
      <c r="D5" s="19">
        <f>C5+D4</f>
        <v>1590</v>
      </c>
      <c r="F5" s="15" t="s">
        <v>26</v>
      </c>
      <c r="G5" s="15" t="s">
        <v>38</v>
      </c>
    </row>
    <row r="6" spans="1:8" ht="20.25" customHeight="1" x14ac:dyDescent="0.35">
      <c r="A6" s="14">
        <v>46150</v>
      </c>
      <c r="B6" s="4" t="s">
        <v>6</v>
      </c>
      <c r="C6" s="11">
        <v>1590</v>
      </c>
      <c r="D6" s="19">
        <f>D5</f>
        <v>1590</v>
      </c>
      <c r="F6" s="16" t="s">
        <v>32</v>
      </c>
      <c r="G6" s="2" t="s">
        <v>33</v>
      </c>
    </row>
    <row r="7" spans="1:8" x14ac:dyDescent="0.35">
      <c r="F7" s="16" t="s">
        <v>28</v>
      </c>
      <c r="G7" s="2" t="s">
        <v>34</v>
      </c>
    </row>
    <row r="8" spans="1:8" ht="30" customHeight="1" x14ac:dyDescent="0.35">
      <c r="A8" s="23" t="s">
        <v>7</v>
      </c>
      <c r="B8" s="23"/>
      <c r="C8" s="23"/>
      <c r="D8" s="24"/>
      <c r="F8" s="16" t="s">
        <v>29</v>
      </c>
      <c r="G8" s="2" t="s">
        <v>35</v>
      </c>
    </row>
    <row r="9" spans="1:8" ht="21" customHeight="1" x14ac:dyDescent="0.35">
      <c r="A9" s="5" t="s">
        <v>51</v>
      </c>
      <c r="B9" s="5" t="s">
        <v>1</v>
      </c>
      <c r="C9" s="5" t="s">
        <v>2</v>
      </c>
      <c r="D9" s="5" t="s">
        <v>3</v>
      </c>
      <c r="E9" s="1">
        <f>1250*10</f>
        <v>12500</v>
      </c>
      <c r="F9" s="16" t="s">
        <v>30</v>
      </c>
      <c r="G9" s="2" t="s">
        <v>36</v>
      </c>
    </row>
    <row r="10" spans="1:8" ht="21" customHeight="1" x14ac:dyDescent="0.35">
      <c r="A10" s="14">
        <v>46149</v>
      </c>
      <c r="B10" s="4" t="s">
        <v>8</v>
      </c>
      <c r="C10" s="10">
        <v>350</v>
      </c>
      <c r="D10" s="20">
        <f>D6-C10</f>
        <v>1240</v>
      </c>
      <c r="F10" s="16" t="s">
        <v>31</v>
      </c>
      <c r="G10" s="2" t="s">
        <v>37</v>
      </c>
    </row>
    <row r="11" spans="1:8" ht="21" customHeight="1" x14ac:dyDescent="0.35">
      <c r="A11" s="14">
        <v>46150</v>
      </c>
      <c r="B11" s="4" t="s">
        <v>9</v>
      </c>
      <c r="C11" s="10">
        <v>30</v>
      </c>
      <c r="D11" s="20">
        <f t="shared" ref="D11:D16" si="0">D10-C11</f>
        <v>1210</v>
      </c>
    </row>
    <row r="12" spans="1:8" ht="21" customHeight="1" x14ac:dyDescent="0.35">
      <c r="A12" s="14">
        <v>46151</v>
      </c>
      <c r="B12" s="4" t="s">
        <v>10</v>
      </c>
      <c r="C12" s="10">
        <v>60</v>
      </c>
      <c r="D12" s="20">
        <f t="shared" si="0"/>
        <v>1150</v>
      </c>
      <c r="F12" s="1" t="s">
        <v>39</v>
      </c>
    </row>
    <row r="13" spans="1:8" ht="21" customHeight="1" x14ac:dyDescent="0.35">
      <c r="A13" s="14">
        <v>46152</v>
      </c>
      <c r="B13" s="4" t="s">
        <v>11</v>
      </c>
      <c r="C13" s="10">
        <v>70</v>
      </c>
      <c r="D13" s="20">
        <f t="shared" si="0"/>
        <v>1080</v>
      </c>
      <c r="F13" s="1" t="s">
        <v>27</v>
      </c>
    </row>
    <row r="14" spans="1:8" ht="21" customHeight="1" x14ac:dyDescent="0.35">
      <c r="A14" s="14">
        <v>46153</v>
      </c>
      <c r="B14" s="4" t="s">
        <v>12</v>
      </c>
      <c r="C14" s="10">
        <v>50</v>
      </c>
      <c r="D14" s="20">
        <f t="shared" si="0"/>
        <v>1030</v>
      </c>
      <c r="F14" s="1" t="s">
        <v>40</v>
      </c>
      <c r="G14" s="1">
        <v>1590</v>
      </c>
      <c r="H14" s="1">
        <v>1740</v>
      </c>
    </row>
    <row r="15" spans="1:8" ht="21" customHeight="1" x14ac:dyDescent="0.35">
      <c r="A15" s="14">
        <v>46154</v>
      </c>
      <c r="B15" s="4" t="s">
        <v>13</v>
      </c>
      <c r="C15" s="10">
        <v>40</v>
      </c>
      <c r="D15" s="20">
        <f t="shared" si="0"/>
        <v>990</v>
      </c>
      <c r="F15" s="1" t="s">
        <v>25</v>
      </c>
    </row>
    <row r="16" spans="1:8" ht="21" customHeight="1" x14ac:dyDescent="0.35">
      <c r="A16" s="14">
        <v>46155</v>
      </c>
      <c r="B16" s="4" t="s">
        <v>14</v>
      </c>
      <c r="C16" s="10">
        <v>450</v>
      </c>
      <c r="D16" s="20">
        <f t="shared" si="0"/>
        <v>540</v>
      </c>
      <c r="F16" s="1" t="s">
        <v>41</v>
      </c>
      <c r="G16" s="1">
        <f>1050+450+90</f>
        <v>1590</v>
      </c>
      <c r="H16" s="1" t="s">
        <v>42</v>
      </c>
    </row>
    <row r="17" spans="1:9" ht="21" customHeight="1" x14ac:dyDescent="0.35">
      <c r="A17" s="14">
        <v>46156</v>
      </c>
      <c r="B17" s="21" t="s">
        <v>15</v>
      </c>
      <c r="C17" s="22">
        <f>C6 - SUM(C10:C16)</f>
        <v>540</v>
      </c>
      <c r="D17" s="20"/>
      <c r="F17" s="1" t="s">
        <v>44</v>
      </c>
      <c r="G17" s="1">
        <f>C3+C4+C5</f>
        <v>1590</v>
      </c>
      <c r="H17" s="1" t="s">
        <v>43</v>
      </c>
    </row>
    <row r="19" spans="1:9" ht="30" customHeight="1" x14ac:dyDescent="0.35">
      <c r="A19" s="23" t="s">
        <v>16</v>
      </c>
      <c r="B19" s="23"/>
      <c r="C19" s="23"/>
      <c r="D19" s="23"/>
      <c r="E19" s="23"/>
    </row>
    <row r="20" spans="1:9" ht="23.25" customHeight="1" x14ac:dyDescent="0.35">
      <c r="A20" s="5" t="s">
        <v>51</v>
      </c>
      <c r="B20" s="5" t="s">
        <v>1</v>
      </c>
      <c r="C20" s="5" t="s">
        <v>17</v>
      </c>
      <c r="D20" s="5" t="s">
        <v>18</v>
      </c>
      <c r="E20" s="5" t="s">
        <v>24</v>
      </c>
    </row>
    <row r="21" spans="1:9" ht="21" customHeight="1" x14ac:dyDescent="0.35">
      <c r="A21" s="14">
        <v>46106</v>
      </c>
      <c r="B21" s="4" t="s">
        <v>19</v>
      </c>
      <c r="C21" s="11">
        <f>SUM($C$17*E21)</f>
        <v>81</v>
      </c>
      <c r="D21" s="10">
        <v>80</v>
      </c>
      <c r="E21" s="12">
        <v>0.15</v>
      </c>
      <c r="I21" s="3"/>
    </row>
    <row r="22" spans="1:9" ht="21" customHeight="1" x14ac:dyDescent="0.35">
      <c r="A22" s="14">
        <v>46107</v>
      </c>
      <c r="B22" s="4" t="s">
        <v>20</v>
      </c>
      <c r="C22" s="11">
        <f t="shared" ref="C22:C26" si="1">SUM($C$17*E22)</f>
        <v>81</v>
      </c>
      <c r="D22" s="10">
        <v>70</v>
      </c>
      <c r="E22" s="13">
        <v>0.15</v>
      </c>
    </row>
    <row r="23" spans="1:9" ht="21" customHeight="1" x14ac:dyDescent="0.35">
      <c r="A23" s="14">
        <v>46108</v>
      </c>
      <c r="B23" s="4" t="s">
        <v>21</v>
      </c>
      <c r="C23" s="11">
        <f t="shared" si="1"/>
        <v>135</v>
      </c>
      <c r="D23" s="10">
        <v>120</v>
      </c>
      <c r="E23" s="13">
        <v>0.25</v>
      </c>
      <c r="F23" s="17"/>
    </row>
    <row r="24" spans="1:9" ht="21" customHeight="1" x14ac:dyDescent="0.35">
      <c r="A24" s="14">
        <v>46109</v>
      </c>
      <c r="B24" s="4" t="s">
        <v>22</v>
      </c>
      <c r="C24" s="11">
        <f t="shared" si="1"/>
        <v>135</v>
      </c>
      <c r="D24" s="10">
        <v>130</v>
      </c>
      <c r="E24" s="13">
        <v>0.25</v>
      </c>
    </row>
    <row r="25" spans="1:9" ht="21" customHeight="1" x14ac:dyDescent="0.35">
      <c r="A25" s="14">
        <v>46110</v>
      </c>
      <c r="B25" s="4" t="s">
        <v>48</v>
      </c>
      <c r="C25" s="11">
        <f t="shared" si="1"/>
        <v>108</v>
      </c>
      <c r="D25" s="10">
        <v>100</v>
      </c>
      <c r="E25" s="13">
        <v>0.2</v>
      </c>
    </row>
    <row r="26" spans="1:9" ht="21" customHeight="1" x14ac:dyDescent="0.35">
      <c r="A26" s="14">
        <v>46111</v>
      </c>
      <c r="B26" s="4" t="s">
        <v>23</v>
      </c>
      <c r="C26" s="11">
        <f t="shared" si="1"/>
        <v>540</v>
      </c>
      <c r="D26" s="28">
        <f>SUM(D21:D25)</f>
        <v>500</v>
      </c>
      <c r="E26" s="26">
        <f>SUM(E21:E25)</f>
        <v>1</v>
      </c>
    </row>
    <row r="27" spans="1:9" ht="21" customHeight="1" x14ac:dyDescent="0.35">
      <c r="A27" s="14">
        <v>46112</v>
      </c>
      <c r="B27" s="4" t="s">
        <v>47</v>
      </c>
      <c r="C27" s="27">
        <f>C26-D26</f>
        <v>40</v>
      </c>
    </row>
    <row r="33" spans="11:12" x14ac:dyDescent="0.35">
      <c r="K33" s="25"/>
      <c r="L33" s="25"/>
    </row>
    <row r="34" spans="11:12" x14ac:dyDescent="0.35">
      <c r="K34" s="25"/>
      <c r="L34" s="25"/>
    </row>
    <row r="35" spans="11:12" x14ac:dyDescent="0.35">
      <c r="K35" s="25"/>
      <c r="L35" s="25"/>
    </row>
    <row r="36" spans="11:12" x14ac:dyDescent="0.35">
      <c r="K36" s="25"/>
      <c r="L36" s="25"/>
    </row>
  </sheetData>
  <customSheetViews>
    <customSheetView guid="{83F02C06-BB31-4FAF-86D2-6A7139A1FA64}" scale="130">
      <selection activeCell="E8" sqref="E8"/>
      <pageMargins left="0.511811024" right="0.511811024" top="0.78740157499999996" bottom="0.78740157499999996" header="0.31496062000000002" footer="0.31496062000000002"/>
      <pageSetup paperSize="9" orientation="portrait" r:id="rId1"/>
    </customSheetView>
  </customSheetViews>
  <mergeCells count="4">
    <mergeCell ref="A1:D1"/>
    <mergeCell ref="A19:E19"/>
    <mergeCell ref="K33:L36"/>
    <mergeCell ref="A8:D8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C2BC-6246-4F5F-B67F-447AD0778349}">
  <dimension ref="A1:L36"/>
  <sheetViews>
    <sheetView tabSelected="1" zoomScale="70" zoomScaleNormal="70" workbookViewId="0">
      <selection activeCell="E5" sqref="E5"/>
    </sheetView>
  </sheetViews>
  <sheetFormatPr defaultRowHeight="21" x14ac:dyDescent="0.35"/>
  <cols>
    <col min="1" max="1" width="21.85546875" style="1" customWidth="1"/>
    <col min="2" max="3" width="23.28515625" style="1" customWidth="1"/>
    <col min="4" max="4" width="17.28515625" style="1" customWidth="1"/>
    <col min="5" max="5" width="24.7109375" style="1" customWidth="1"/>
    <col min="6" max="6" width="36.7109375" style="1" customWidth="1"/>
    <col min="7" max="7" width="18" style="1" customWidth="1"/>
    <col min="8" max="8" width="26" style="1" bestFit="1" customWidth="1"/>
    <col min="9" max="9" width="15.7109375" style="1" customWidth="1"/>
    <col min="10" max="16384" width="9.140625" style="1"/>
  </cols>
  <sheetData>
    <row r="1" spans="1:8" ht="30" customHeight="1" x14ac:dyDescent="0.5">
      <c r="A1" s="23" t="s">
        <v>0</v>
      </c>
      <c r="B1" s="23"/>
      <c r="C1" s="23"/>
      <c r="D1" s="24"/>
      <c r="F1" s="6" t="s">
        <v>46</v>
      </c>
    </row>
    <row r="2" spans="1:8" ht="20.25" customHeight="1" x14ac:dyDescent="0.35">
      <c r="A2" s="5" t="s">
        <v>51</v>
      </c>
      <c r="B2" s="5" t="s">
        <v>1</v>
      </c>
      <c r="C2" s="5" t="s">
        <v>2</v>
      </c>
      <c r="D2" s="5" t="s">
        <v>3</v>
      </c>
      <c r="F2" s="7" t="s">
        <v>49</v>
      </c>
    </row>
    <row r="3" spans="1:8" ht="20.25" customHeight="1" x14ac:dyDescent="0.35">
      <c r="A3" s="14">
        <v>46178</v>
      </c>
      <c r="B3" s="4" t="s">
        <v>4</v>
      </c>
      <c r="C3" s="9"/>
      <c r="D3" s="18">
        <f>C3+'Maio de 2026'!C27</f>
        <v>40</v>
      </c>
      <c r="F3" s="8" t="s">
        <v>50</v>
      </c>
    </row>
    <row r="4" spans="1:8" ht="20.25" customHeight="1" x14ac:dyDescent="0.35">
      <c r="A4" s="14">
        <v>46179</v>
      </c>
      <c r="B4" s="4" t="s">
        <v>5</v>
      </c>
      <c r="C4" s="9"/>
      <c r="D4" s="18">
        <f>C3+C4</f>
        <v>0</v>
      </c>
    </row>
    <row r="5" spans="1:8" ht="20.25" customHeight="1" x14ac:dyDescent="0.35">
      <c r="A5" s="14">
        <v>46180</v>
      </c>
      <c r="B5" s="4" t="s">
        <v>45</v>
      </c>
      <c r="C5" s="9"/>
      <c r="D5" s="19">
        <f>C5+D4</f>
        <v>0</v>
      </c>
      <c r="F5" s="15" t="s">
        <v>26</v>
      </c>
      <c r="G5" s="15" t="s">
        <v>38</v>
      </c>
    </row>
    <row r="6" spans="1:8" ht="20.25" customHeight="1" x14ac:dyDescent="0.35">
      <c r="A6" s="14">
        <v>46181</v>
      </c>
      <c r="B6" s="4" t="s">
        <v>6</v>
      </c>
      <c r="C6" s="11">
        <f>C3+C4+C5</f>
        <v>0</v>
      </c>
      <c r="D6" s="19">
        <f>D5</f>
        <v>0</v>
      </c>
      <c r="F6" s="16" t="s">
        <v>32</v>
      </c>
      <c r="G6" s="2" t="s">
        <v>33</v>
      </c>
    </row>
    <row r="7" spans="1:8" x14ac:dyDescent="0.35">
      <c r="F7" s="16" t="s">
        <v>28</v>
      </c>
      <c r="G7" s="2" t="s">
        <v>34</v>
      </c>
    </row>
    <row r="8" spans="1:8" ht="30" customHeight="1" x14ac:dyDescent="0.35">
      <c r="A8" s="23" t="s">
        <v>7</v>
      </c>
      <c r="B8" s="23"/>
      <c r="C8" s="23"/>
      <c r="D8" s="24"/>
      <c r="F8" s="16" t="s">
        <v>29</v>
      </c>
      <c r="G8" s="2" t="s">
        <v>35</v>
      </c>
    </row>
    <row r="9" spans="1:8" ht="21" customHeight="1" x14ac:dyDescent="0.35">
      <c r="A9" s="5" t="s">
        <v>51</v>
      </c>
      <c r="B9" s="5" t="s">
        <v>1</v>
      </c>
      <c r="C9" s="5" t="s">
        <v>2</v>
      </c>
      <c r="D9" s="5" t="s">
        <v>3</v>
      </c>
      <c r="E9" s="1">
        <f>1250*10</f>
        <v>12500</v>
      </c>
      <c r="F9" s="16" t="s">
        <v>30</v>
      </c>
      <c r="G9" s="2" t="s">
        <v>36</v>
      </c>
    </row>
    <row r="10" spans="1:8" ht="21" customHeight="1" x14ac:dyDescent="0.35">
      <c r="A10" s="14">
        <v>46180</v>
      </c>
      <c r="B10" s="4" t="s">
        <v>8</v>
      </c>
      <c r="C10" s="10"/>
      <c r="D10" s="20">
        <f>D6-C10</f>
        <v>0</v>
      </c>
      <c r="F10" s="16" t="s">
        <v>31</v>
      </c>
      <c r="G10" s="2" t="s">
        <v>37</v>
      </c>
    </row>
    <row r="11" spans="1:8" ht="21" customHeight="1" x14ac:dyDescent="0.35">
      <c r="A11" s="14">
        <v>46181</v>
      </c>
      <c r="B11" s="4" t="s">
        <v>9</v>
      </c>
      <c r="C11" s="10"/>
      <c r="D11" s="20">
        <f t="shared" ref="D11:D16" si="0">D10-C11</f>
        <v>0</v>
      </c>
    </row>
    <row r="12" spans="1:8" ht="21" customHeight="1" x14ac:dyDescent="0.35">
      <c r="A12" s="14">
        <v>46182</v>
      </c>
      <c r="B12" s="4" t="s">
        <v>10</v>
      </c>
      <c r="C12" s="10"/>
      <c r="D12" s="20">
        <f t="shared" si="0"/>
        <v>0</v>
      </c>
      <c r="F12" s="1" t="s">
        <v>39</v>
      </c>
    </row>
    <row r="13" spans="1:8" ht="21" customHeight="1" x14ac:dyDescent="0.35">
      <c r="A13" s="14">
        <v>46183</v>
      </c>
      <c r="B13" s="4" t="s">
        <v>11</v>
      </c>
      <c r="C13" s="10"/>
      <c r="D13" s="20">
        <f t="shared" si="0"/>
        <v>0</v>
      </c>
      <c r="F13" s="1" t="s">
        <v>27</v>
      </c>
    </row>
    <row r="14" spans="1:8" ht="21" customHeight="1" x14ac:dyDescent="0.35">
      <c r="A14" s="14">
        <v>46184</v>
      </c>
      <c r="B14" s="4" t="s">
        <v>12</v>
      </c>
      <c r="C14" s="10"/>
      <c r="D14" s="20">
        <f t="shared" si="0"/>
        <v>0</v>
      </c>
      <c r="F14" s="1" t="s">
        <v>40</v>
      </c>
      <c r="G14" s="1">
        <v>1590</v>
      </c>
      <c r="H14" s="1">
        <v>1740</v>
      </c>
    </row>
    <row r="15" spans="1:8" ht="21" customHeight="1" x14ac:dyDescent="0.35">
      <c r="A15" s="14">
        <v>46185</v>
      </c>
      <c r="B15" s="4" t="s">
        <v>13</v>
      </c>
      <c r="C15" s="10"/>
      <c r="D15" s="20">
        <f t="shared" si="0"/>
        <v>0</v>
      </c>
      <c r="F15" s="1" t="s">
        <v>25</v>
      </c>
    </row>
    <row r="16" spans="1:8" ht="21" customHeight="1" x14ac:dyDescent="0.35">
      <c r="A16" s="14">
        <v>46186</v>
      </c>
      <c r="B16" s="4" t="s">
        <v>14</v>
      </c>
      <c r="C16" s="10"/>
      <c r="D16" s="20">
        <f t="shared" si="0"/>
        <v>0</v>
      </c>
      <c r="F16" s="1" t="s">
        <v>41</v>
      </c>
      <c r="G16" s="1">
        <f>1050+450+90</f>
        <v>1590</v>
      </c>
      <c r="H16" s="1" t="s">
        <v>42</v>
      </c>
    </row>
    <row r="17" spans="1:9" ht="21" customHeight="1" x14ac:dyDescent="0.35">
      <c r="A17" s="14">
        <v>46187</v>
      </c>
      <c r="B17" s="21" t="s">
        <v>15</v>
      </c>
      <c r="C17" s="22">
        <f>C6 - SUM(C10:C16)</f>
        <v>0</v>
      </c>
      <c r="D17" s="20"/>
      <c r="F17" s="1" t="s">
        <v>44</v>
      </c>
      <c r="G17" s="1">
        <f>C3+C4+C5</f>
        <v>0</v>
      </c>
      <c r="H17" s="1" t="s">
        <v>43</v>
      </c>
    </row>
    <row r="19" spans="1:9" ht="30" customHeight="1" x14ac:dyDescent="0.35">
      <c r="A19" s="23" t="s">
        <v>16</v>
      </c>
      <c r="B19" s="23"/>
      <c r="C19" s="23"/>
      <c r="D19" s="23"/>
      <c r="E19" s="23"/>
    </row>
    <row r="20" spans="1:9" ht="23.25" customHeight="1" x14ac:dyDescent="0.35">
      <c r="A20" s="5" t="s">
        <v>51</v>
      </c>
      <c r="B20" s="5" t="s">
        <v>1</v>
      </c>
      <c r="C20" s="5" t="s">
        <v>17</v>
      </c>
      <c r="D20" s="5" t="s">
        <v>18</v>
      </c>
      <c r="E20" s="5" t="s">
        <v>24</v>
      </c>
    </row>
    <row r="21" spans="1:9" ht="21" customHeight="1" x14ac:dyDescent="0.35">
      <c r="A21" s="14">
        <v>46106</v>
      </c>
      <c r="B21" s="4" t="s">
        <v>19</v>
      </c>
      <c r="C21" s="11">
        <f>SUM($C$17*E21)</f>
        <v>0</v>
      </c>
      <c r="D21" s="10"/>
      <c r="E21" s="12"/>
      <c r="I21" s="3"/>
    </row>
    <row r="22" spans="1:9" ht="21" customHeight="1" x14ac:dyDescent="0.35">
      <c r="A22" s="14">
        <v>46107</v>
      </c>
      <c r="B22" s="4" t="s">
        <v>20</v>
      </c>
      <c r="C22" s="11">
        <f t="shared" ref="C22:C26" si="1">SUM($C$17*E22)</f>
        <v>0</v>
      </c>
      <c r="D22" s="10"/>
      <c r="E22" s="13"/>
    </row>
    <row r="23" spans="1:9" ht="21" customHeight="1" x14ac:dyDescent="0.35">
      <c r="A23" s="14">
        <v>46108</v>
      </c>
      <c r="B23" s="4" t="s">
        <v>21</v>
      </c>
      <c r="C23" s="11">
        <f t="shared" si="1"/>
        <v>0</v>
      </c>
      <c r="D23" s="10"/>
      <c r="E23" s="13"/>
      <c r="F23" s="17"/>
    </row>
    <row r="24" spans="1:9" ht="21" customHeight="1" x14ac:dyDescent="0.35">
      <c r="A24" s="14">
        <v>46109</v>
      </c>
      <c r="B24" s="4" t="s">
        <v>22</v>
      </c>
      <c r="C24" s="11">
        <f t="shared" si="1"/>
        <v>0</v>
      </c>
      <c r="D24" s="10"/>
      <c r="E24" s="13"/>
    </row>
    <row r="25" spans="1:9" ht="21" customHeight="1" x14ac:dyDescent="0.35">
      <c r="A25" s="14">
        <v>46110</v>
      </c>
      <c r="B25" s="4" t="s">
        <v>48</v>
      </c>
      <c r="C25" s="11">
        <f t="shared" si="1"/>
        <v>0</v>
      </c>
      <c r="D25" s="10"/>
      <c r="E25" s="13"/>
    </row>
    <row r="26" spans="1:9" ht="21" customHeight="1" x14ac:dyDescent="0.35">
      <c r="A26" s="14">
        <v>46111</v>
      </c>
      <c r="B26" s="4" t="s">
        <v>23</v>
      </c>
      <c r="C26" s="11">
        <f t="shared" si="1"/>
        <v>0</v>
      </c>
      <c r="D26" s="28">
        <f>SUM(D21:D25)</f>
        <v>0</v>
      </c>
      <c r="E26" s="26">
        <f>SUM(E21:E25)</f>
        <v>0</v>
      </c>
    </row>
    <row r="27" spans="1:9" ht="21" customHeight="1" x14ac:dyDescent="0.35">
      <c r="A27" s="14">
        <v>46112</v>
      </c>
      <c r="B27" s="4" t="s">
        <v>47</v>
      </c>
      <c r="C27" s="27">
        <f>C26-D26</f>
        <v>0</v>
      </c>
    </row>
    <row r="33" spans="11:12" x14ac:dyDescent="0.35">
      <c r="K33" s="25"/>
      <c r="L33" s="25"/>
    </row>
    <row r="34" spans="11:12" x14ac:dyDescent="0.35">
      <c r="K34" s="25"/>
      <c r="L34" s="25"/>
    </row>
    <row r="35" spans="11:12" x14ac:dyDescent="0.35">
      <c r="K35" s="25"/>
      <c r="L35" s="25"/>
    </row>
    <row r="36" spans="11:12" x14ac:dyDescent="0.35">
      <c r="K36" s="25"/>
      <c r="L36" s="25"/>
    </row>
  </sheetData>
  <mergeCells count="4">
    <mergeCell ref="A1:D1"/>
    <mergeCell ref="A8:D8"/>
    <mergeCell ref="A19:E19"/>
    <mergeCell ref="K33:L3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Maio de 2026</vt:lpstr>
      <vt:lpstr>Junho de 2026</vt:lpstr>
    </vt:vector>
  </TitlesOfParts>
  <Company>Tatuapé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Cedaspy</dc:creator>
  <cp:lastModifiedBy>ETEC</cp:lastModifiedBy>
  <cp:lastPrinted>2021-04-29T00:47:02Z</cp:lastPrinted>
  <dcterms:created xsi:type="dcterms:W3CDTF">2011-01-06T17:59:25Z</dcterms:created>
  <dcterms:modified xsi:type="dcterms:W3CDTF">2026-05-12T23:44:20Z</dcterms:modified>
</cp:coreProperties>
</file>